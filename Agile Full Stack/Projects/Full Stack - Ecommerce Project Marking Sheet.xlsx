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Workplace\COLLEGE\dept-term-three\Agile Full Stack\Projects\"/>
    </mc:Choice>
  </mc:AlternateContent>
  <xr:revisionPtr revIDLastSave="0" documentId="13_ncr:1_{48148FAD-7B2B-4F00-97EA-E1B65B5DA36E}" xr6:coauthVersionLast="47" xr6:coauthVersionMax="47" xr10:uidLastSave="{00000000-0000-0000-0000-000000000000}"/>
  <bookViews>
    <workbookView xWindow="-110" yWindow="-110" windowWidth="38620" windowHeight="211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K170" i="1" l="1"/>
  <c r="L170" i="1" s="1"/>
  <c r="I170" i="1"/>
  <c r="J170" i="1"/>
  <c r="A1" i="1" l="1"/>
</calcChain>
</file>

<file path=xl/sharedStrings.xml><?xml version="1.0" encoding="utf-8"?>
<sst xmlns="http://schemas.openxmlformats.org/spreadsheetml/2006/main" count="379" uniqueCount="214">
  <si>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</si>
  <si>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</si>
  <si>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</si>
  <si>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</si>
  <si>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</si>
  <si>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</si>
  <si>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</si>
  <si>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</si>
  <si>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</si>
  <si>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</si>
  <si>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</si>
  <si>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</si>
  <si>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</si>
  <si>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</si>
  <si>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</si>
  <si>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</si>
  <si>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 Your database must include at least 10 products.</t>
  </si>
  <si>
    <t>- These products must have real names and actual descriptions, no key mashing. (Faker generated content is allow.)</t>
  </si>
  <si>
    <t>1.3</t>
  </si>
  <si>
    <r>
      <rPr>
        <b/>
        <sz val="14"/>
        <color rgb="FF434343"/>
        <rFont val="Calibri"/>
        <family val="2"/>
      </rPr>
      <t xml:space="preserve">Add or update images associated with a new or existing products. </t>
    </r>
    <r>
      <rPr>
        <sz val="14"/>
        <color rgb="FF434343"/>
        <rFont val="Calibri"/>
        <family val="2"/>
      </rPr>
      <t>(Or images for another suitable model.)</t>
    </r>
  </si>
  <si>
    <t>1.4</t>
  </si>
  <si>
    <t>Edit the content of the website’s contact and about page.</t>
  </si>
  <si>
    <t>- Theses pages must be editable from a web-form from within the activeadmin part of your site.</t>
  </si>
  <si>
    <r>
      <rPr>
        <sz val="14"/>
        <color rgb="FF434343"/>
        <rFont val="Calibri"/>
        <family val="2"/>
      </rPr>
      <t xml:space="preserve">- Editing of these pages must not be handled by CRUD actions/views scaffolded using </t>
    </r>
    <r>
      <rPr>
        <sz val="12"/>
        <color rgb="FF434343"/>
        <rFont val="Consolas"/>
        <family val="2"/>
      </rPr>
      <t>"rails g scaffold"</t>
    </r>
    <r>
      <rPr>
        <sz val="14"/>
        <color rgb="FF434343"/>
        <rFont val="Calibri"/>
        <family val="2"/>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</si>
  <si>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</si>
  <si>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</si>
  <si>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</si>
  <si>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</si>
  <si>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</si>
  <si>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</si>
  <si>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</si>
  <si>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</si>
  <si>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</si>
  <si>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</si>
  <si>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</si>
  <si>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</si>
  <si>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</si>
  <si>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</si>
  <si>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</si>
  <si>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</si>
  <si>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</si>
  <si>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</si>
  <si>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</si>
  <si>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</si>
  <si>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</si>
  <si>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</si>
  <si>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</si>
  <si>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</si>
  <si>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</si>
  <si>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</si>
  <si>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</si>
  <si>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</si>
  <si>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</si>
  <si>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</si>
  <si>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</si>
  <si>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</si>
  <si>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</si>
  <si>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</si>
  <si>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</si>
  <si>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</si>
  <si>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</si>
  <si>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</si>
  <si>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</si>
  <si>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</si>
  <si>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</si>
  <si>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</si>
  <si>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</si>
  <si>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</si>
  <si>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</si>
  <si>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</si>
  <si>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</si>
  <si>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</si>
  <si>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</si>
  <si>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</si>
  <si>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</si>
  <si>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</si>
  <si>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</si>
  <si>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</si>
  <si>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</si>
  <si>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</si>
  <si>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</si>
  <si>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</si>
  <si>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</si>
  <si>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</si>
  <si>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</si>
  <si>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</si>
  <si>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</si>
  <si>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</si>
  <si>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</si>
  <si>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</si>
  <si>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</si>
  <si>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</si>
  <si>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</si>
  <si>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</si>
  <si>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</si>
  <si>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</si>
  <si>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</si>
  <si>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</si>
  <si>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</si>
  <si>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</si>
  <si>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</si>
  <si>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</si>
  <si>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</si>
  <si>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</si>
  <si>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</si>
  <si>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</si>
  <si>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</si>
  <si>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</si>
  <si>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</si>
  <si>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</si>
  <si>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</si>
  <si>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</si>
  <si>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</si>
  <si>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</si>
  <si>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</si>
  <si>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</si>
  <si>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</si>
  <si>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</si>
  <si>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</si>
  <si>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</si>
  <si>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</si>
  <si>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</si>
  <si>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</si>
  <si>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</si>
  <si>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</si>
  <si>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</si>
  <si>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</si>
  <si>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</si>
  <si>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</si>
  <si>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</si>
  <si>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</si>
  <si>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</si>
  <si>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</si>
  <si>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</si>
  <si>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</si>
  <si>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</si>
  <si>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</si>
  <si>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</si>
  <si>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</si>
  <si>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</si>
  <si>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</si>
  <si>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</si>
  <si>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</si>
  <si>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</si>
  <si>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</si>
  <si>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</si>
  <si>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</si>
  <si>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</si>
  <si>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</si>
  <si>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</si>
  <si>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</si>
  <si>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</si>
  <si>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</si>
  <si>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</si>
  <si>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</si>
  <si>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</si>
  <si>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</si>
  <si>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</si>
  <si>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</si>
  <si>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</si>
  <si>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</si>
  <si>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</si>
  <si>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</si>
  <si>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</si>
  <si>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</si>
  <si>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</si>
  <si>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</si>
  <si>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</si>
  <si>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</si>
  <si>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</si>
  <si>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</si>
  <si>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</si>
  <si>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</si>
  <si>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</si>
  <si>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</si>
  <si>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</si>
  <si>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</si>
  <si>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</si>
  <si>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</si>
  <si>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</si>
  <si>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</si>
  <si>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</si>
  <si>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</si>
  <si>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</si>
  <si>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</si>
  <si>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</si>
  <si>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</si>
  <si>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</si>
  <si>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</si>
  <si>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</si>
  <si>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</si>
  <si>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</si>
  <si>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</si>
  <si>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</si>
  <si>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</si>
  <si>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</si>
  <si>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</si>
  <si>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</si>
  <si>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</si>
  <si>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</si>
  <si>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</si>
  <si>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</si>
  <si>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</si>
  <si>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</si>
  <si>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</si>
  <si>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</si>
  <si>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</si>
  <si>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</si>
  <si>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</si>
  <si>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</si>
  <si>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</si>
  <si>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Yes</t>
  </si>
  <si>
    <t>Active Storage uploads are stored to Google Cloud or AWS S3.</t>
  </si>
  <si>
    <t>- Be sure to use the Kaminari gem for this as the will_paginate gem conflicts with Active Admin.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</si>
</sst>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2" x14ac:knownFonts="1">
    <font>
      <sz val="10"/>
      <color rgb="FF000000"/>
      <name val="Arial"/>
      <scheme val="minor"/>
    </font>
    <font>
      <b/>
      <sz val="18"/>
      <color rgb="FF666666"/>
      <name val="Calibri"/>
      <family val="2"/>
    </font>
    <font>
      <sz val="14"/>
      <color rgb="FF434343"/>
      <name val="Calibri"/>
      <family val="2"/>
    </font>
    <font>
      <b/>
      <sz val="14"/>
      <color rgb="FF434343"/>
      <name val="Calibri"/>
      <family val="2"/>
    </font>
    <font>
      <sz val="10"/>
      <color theme="1"/>
      <name val="Arial"/>
      <family val="2"/>
      <scheme val="minor"/>
    </font>
    <font>
      <sz val="14"/>
      <color theme="1"/>
      <name val="Calibri"/>
      <family val="2"/>
    </font>
    <font>
      <b/>
      <sz val="14"/>
      <color rgb="FF000000"/>
      <name val="Calibri"/>
      <family val="2"/>
    </font>
    <font>
      <b/>
      <sz val="14"/>
      <color theme="1"/>
      <name val="Calibri"/>
      <family val="2"/>
    </font>
    <font>
      <sz val="14"/>
      <color rgb="FFB7B7B7"/>
      <name val="Calibri"/>
      <family val="2"/>
    </font>
    <font>
      <i/>
      <sz val="14"/>
      <color rgb="FF666666"/>
      <name val="Calibri"/>
      <family val="2"/>
    </font>
    <font>
      <b/>
      <sz val="14"/>
      <color rgb="FF674EA7"/>
      <name val="Calibri"/>
      <family val="2"/>
    </font>
    <font>
      <u/>
      <sz val="14"/>
      <color rgb="FF1155CC"/>
      <name val="Calibri"/>
      <family val="2"/>
    </font>
    <font>
      <u/>
      <sz val="14"/>
      <color rgb="FF1155CC"/>
      <name val="Calibri"/>
      <family val="2"/>
    </font>
    <font>
      <sz val="10"/>
      <color rgb="FFB7B7B7"/>
      <name val="Arial"/>
      <family val="2"/>
      <scheme val="minor"/>
    </font>
    <font>
      <sz val="10"/>
      <color rgb="FFB7B7B7"/>
      <name val="Calibri"/>
      <family val="2"/>
    </font>
    <font>
      <sz val="11"/>
      <color rgb="FFB7B7B7"/>
      <name val="Arial"/>
      <family val="2"/>
      <scheme val="minor"/>
    </font>
    <font>
      <sz val="11"/>
      <color rgb="FFF7981D"/>
      <name val="Arial"/>
      <family val="2"/>
      <scheme val="minor"/>
    </font>
    <font>
      <sz val="12"/>
      <color rgb="FF434343"/>
      <name val="Consolas"/>
      <family val="2"/>
    </font>
    <font>
      <sz val="14"/>
      <name val="Calibri"/>
      <family val="2"/>
    </font>
    <font>
      <b/>
      <sz val="14"/>
      <color rgb="FF434343"/>
      <name val="Calibri"/>
      <family val="2"/>
    </font>
    <font>
      <b/>
      <sz val="14"/>
      <name val="Calibri"/>
      <family val="2"/>
    </font>
    <font>
      <sz val="10"/>
      <name val="Arial"/>
      <family val="2"/>
      <scheme val="minor"/>
    </font>
  </fonts>
  <fills count="9">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C00000"/>
        <bgColor indexed="64"/>
      </patternFill>
    </fill>
    <fill>
      <patternFill patternType="solid">
        <fgColor rgb="FF00B050"/>
        <bgColor indexed="64"/>
      </patternFill>
    </fill>
    <fill>
      <patternFill patternType="solid">
        <fgColor rgb="FF00B050"/>
        <bgColor rgb="FFEFEFEF"/>
      </patternFill>
    </fill>
    <fill>
      <patternFill patternType="solid">
        <fgColor rgb="FFFFFF00"/>
        <bgColor indexed="64"/>
      </patternFill>
    </fill>
    <fill>
      <patternFill patternType="solid">
        <fgColor rgb="FFFFFF00"/>
        <bgColor rgb="FFEFEFE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2">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4" borderId="0" xfId="0" applyFont="1" applyFill="1" applyAlignment="1">
      <alignment horizontal="center"/>
    </xf>
    <xf numFmtId="0" fontId="2" fillId="5" borderId="0" xfId="0" applyFont="1" applyFill="1"/>
    <xf numFmtId="49" fontId="3" fillId="5" borderId="0" xfId="0" applyNumberFormat="1" applyFont="1" applyFill="1" applyAlignment="1">
      <alignment horizontal="center"/>
    </xf>
    <xf numFmtId="0" fontId="3" fillId="5" borderId="0" xfId="0" applyFont="1" applyFill="1" applyAlignment="1">
      <alignment wrapText="1"/>
    </xf>
    <xf numFmtId="0" fontId="5" fillId="6" borderId="0" xfId="0" applyFont="1" applyFill="1"/>
    <xf numFmtId="0" fontId="5" fillId="5" borderId="0" xfId="0" applyFont="1" applyFill="1" applyAlignment="1">
      <alignment horizontal="center"/>
    </xf>
    <xf numFmtId="164" fontId="5" fillId="6" borderId="0" xfId="0" applyNumberFormat="1" applyFont="1" applyFill="1" applyAlignment="1">
      <alignment horizontal="center"/>
    </xf>
    <xf numFmtId="0" fontId="10" fillId="6" borderId="0" xfId="0" applyFont="1" applyFill="1" applyAlignment="1">
      <alignment horizontal="center"/>
    </xf>
    <xf numFmtId="0" fontId="8" fillId="6" borderId="0" xfId="0" applyFont="1" applyFill="1" applyAlignment="1">
      <alignment horizontal="center"/>
    </xf>
    <xf numFmtId="0" fontId="8" fillId="6" borderId="0" xfId="0" applyFont="1" applyFill="1"/>
    <xf numFmtId="0" fontId="5" fillId="5" borderId="0" xfId="0" applyFont="1" applyFill="1"/>
    <xf numFmtId="0" fontId="0" fillId="5" borderId="0" xfId="0" applyFill="1"/>
    <xf numFmtId="3" fontId="3" fillId="5" borderId="0" xfId="0" applyNumberFormat="1" applyFont="1" applyFill="1" applyAlignment="1">
      <alignment horizontal="center"/>
    </xf>
    <xf numFmtId="0" fontId="19" fillId="5" borderId="0" xfId="0" applyFont="1" applyFill="1" applyAlignment="1">
      <alignment wrapText="1"/>
    </xf>
    <xf numFmtId="0" fontId="2" fillId="7" borderId="0" xfId="0" applyFont="1" applyFill="1"/>
    <xf numFmtId="49" fontId="3" fillId="7" borderId="0" xfId="0" applyNumberFormat="1" applyFont="1" applyFill="1" applyAlignment="1">
      <alignment horizontal="center"/>
    </xf>
    <xf numFmtId="0" fontId="3" fillId="7" borderId="0" xfId="0" applyFont="1" applyFill="1" applyAlignment="1">
      <alignment wrapText="1"/>
    </xf>
    <xf numFmtId="0" fontId="5" fillId="8" borderId="0" xfId="0" applyFont="1" applyFill="1"/>
    <xf numFmtId="0" fontId="18" fillId="7" borderId="0" xfId="0" applyFont="1" applyFill="1" applyAlignment="1">
      <alignment horizontal="center"/>
    </xf>
    <xf numFmtId="164" fontId="5" fillId="8" borderId="0" xfId="0" applyNumberFormat="1" applyFont="1" applyFill="1" applyAlignment="1">
      <alignment horizontal="center"/>
    </xf>
    <xf numFmtId="0" fontId="8" fillId="8" borderId="0" xfId="0" applyFont="1" applyFill="1" applyAlignment="1">
      <alignment horizontal="center"/>
    </xf>
    <xf numFmtId="0" fontId="8" fillId="8" borderId="0" xfId="0" applyFont="1" applyFill="1"/>
    <xf numFmtId="0" fontId="5" fillId="7" borderId="0" xfId="0" applyFont="1" applyFill="1"/>
    <xf numFmtId="0" fontId="0" fillId="7" borderId="0" xfId="0" applyFill="1"/>
    <xf numFmtId="0" fontId="5" fillId="7" borderId="0" xfId="0" applyFont="1" applyFill="1" applyAlignment="1">
      <alignment horizontal="center"/>
    </xf>
    <xf numFmtId="0" fontId="10" fillId="8" borderId="0" xfId="0" applyFont="1" applyFill="1" applyAlignment="1">
      <alignment horizontal="center"/>
    </xf>
    <xf numFmtId="0" fontId="20" fillId="7" borderId="0" xfId="0" applyFont="1" applyFill="1"/>
    <xf numFmtId="0" fontId="18" fillId="7" borderId="0" xfId="0" applyFont="1" applyFill="1"/>
    <xf numFmtId="49" fontId="20" fillId="7" borderId="0" xfId="0" applyNumberFormat="1" applyFont="1" applyFill="1" applyAlignment="1">
      <alignment horizontal="center"/>
    </xf>
    <xf numFmtId="0" fontId="18" fillId="7" borderId="0" xfId="0" applyFont="1" applyFill="1" applyAlignment="1">
      <alignment wrapText="1"/>
    </xf>
    <xf numFmtId="0" fontId="18" fillId="8" borderId="0" xfId="0" applyFont="1" applyFill="1" applyAlignment="1">
      <alignment horizontal="center"/>
    </xf>
    <xf numFmtId="164" fontId="18" fillId="8" borderId="0" xfId="0" applyNumberFormat="1" applyFont="1" applyFill="1" applyAlignment="1">
      <alignment horizontal="center"/>
    </xf>
    <xf numFmtId="0" fontId="18" fillId="8" borderId="0" xfId="0" applyFont="1" applyFill="1"/>
    <xf numFmtId="0" fontId="21" fillId="7" borderId="0" xfId="0" applyFont="1" applyFill="1"/>
  </cellXfs>
  <cellStyles count="1">
    <cellStyle name="Normal" xfId="0" builtinId="0"/>
  </cellStyles>
  <dxfs count="28">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zoomScale="125" workbookViewId="0">
      <pane ySplit="1" topLeftCell="A114" activePane="bottomLeft" state="frozen"/>
      <selection pane="bottomLeft" activeCell="A157" sqref="A157:XFD157"/>
    </sheetView>
  </sheetViews>
  <sheetFormatPr defaultColWidth="12.6328125" defaultRowHeight="15.75" customHeight="1" x14ac:dyDescent="0.25"/>
  <cols>
    <col min="1" max="1" width="4.1796875" customWidth="1"/>
    <col min="2" max="2" width="6.1796875" customWidth="1"/>
    <col min="3" max="3" width="5.6328125" customWidth="1"/>
    <col min="4" max="4" width="130.6328125" customWidth="1"/>
    <col min="7" max="7" width="11.6328125" customWidth="1"/>
    <col min="11" max="11" width="24.6328125" customWidth="1"/>
    <col min="12" max="12" width="25.1796875" customWidth="1"/>
  </cols>
  <sheetData>
    <row r="1" spans="1:29" ht="23.5" x14ac:dyDescent="0.55000000000000004">
      <c r="A1" s="1" t="str">
        <f>"Unverified Marks: " &amp; I170 &amp; "  /  Verified: " &amp; J170 &amp; "  /  Verified with Deductions: " &amp; K170 &amp; "  /  Verified with Deductions &amp; Milestones: " &amp; L170</f>
        <v>Unverified Marks: 130  /  Verified: 130  /  Verified with Deductions: 130  /  Verified with Deductions &amp; Milestones: 95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4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5" x14ac:dyDescent="0.4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s="49" customFormat="1" ht="18.5" x14ac:dyDescent="0.45">
      <c r="A4" s="39"/>
      <c r="B4" s="39"/>
      <c r="C4" s="40" t="s">
        <v>10</v>
      </c>
      <c r="D4" s="41" t="s">
        <v>11</v>
      </c>
      <c r="E4" s="42"/>
      <c r="F4" s="43" t="s">
        <v>211</v>
      </c>
      <c r="G4" s="44">
        <v>2</v>
      </c>
      <c r="H4" s="45" t="s">
        <v>13</v>
      </c>
      <c r="I4" s="46">
        <f t="shared" ref="I4:I5" si="0">IF(OR(F4 = "maybe", F4 = "yes"),G4, 0)</f>
        <v>2</v>
      </c>
      <c r="J4" s="46">
        <f t="shared" ref="J4:J5" si="1">IF(F4 = "yes",G4, 0)</f>
        <v>2</v>
      </c>
      <c r="K4" s="46">
        <f t="shared" ref="K4:K5" si="2">IF(F4 = "yes",G4, $M$2)</f>
        <v>2</v>
      </c>
      <c r="L4" s="47"/>
      <c r="M4" s="47"/>
      <c r="N4" s="48"/>
      <c r="O4" s="48"/>
      <c r="P4" s="48"/>
      <c r="Q4" s="48"/>
      <c r="R4" s="48"/>
      <c r="S4" s="48"/>
      <c r="T4" s="48"/>
      <c r="U4" s="48"/>
      <c r="V4" s="48"/>
      <c r="W4" s="48"/>
      <c r="X4" s="48"/>
      <c r="Y4" s="48"/>
      <c r="Z4" s="48"/>
      <c r="AA4" s="48"/>
      <c r="AB4" s="48"/>
      <c r="AC4" s="48"/>
    </row>
    <row r="5" spans="1:29" s="49" customFormat="1" ht="18.5" x14ac:dyDescent="0.45">
      <c r="A5" s="39"/>
      <c r="B5" s="39"/>
      <c r="C5" s="40" t="s">
        <v>14</v>
      </c>
      <c r="D5" s="41" t="s">
        <v>15</v>
      </c>
      <c r="E5" s="42"/>
      <c r="F5" s="43" t="s">
        <v>211</v>
      </c>
      <c r="G5" s="44">
        <v>2</v>
      </c>
      <c r="H5" s="45" t="s">
        <v>13</v>
      </c>
      <c r="I5" s="46">
        <f t="shared" si="0"/>
        <v>2</v>
      </c>
      <c r="J5" s="46">
        <f t="shared" si="1"/>
        <v>2</v>
      </c>
      <c r="K5" s="46">
        <f t="shared" si="2"/>
        <v>2</v>
      </c>
      <c r="L5" s="47"/>
      <c r="M5" s="47"/>
      <c r="N5" s="48"/>
      <c r="O5" s="48"/>
      <c r="P5" s="48"/>
      <c r="Q5" s="48"/>
      <c r="R5" s="48"/>
      <c r="S5" s="48"/>
      <c r="T5" s="48"/>
      <c r="U5" s="48"/>
      <c r="V5" s="48"/>
      <c r="W5" s="48"/>
      <c r="X5" s="48"/>
      <c r="Y5" s="48"/>
      <c r="Z5" s="48"/>
      <c r="AA5" s="48"/>
      <c r="AB5" s="48"/>
      <c r="AC5" s="48"/>
    </row>
    <row r="6" spans="1:29" ht="21.75" customHeight="1" x14ac:dyDescent="0.45">
      <c r="A6" s="9"/>
      <c r="B6" s="9"/>
      <c r="C6" s="19"/>
      <c r="D6" s="3" t="s">
        <v>16</v>
      </c>
      <c r="E6" s="21" t="s">
        <v>12</v>
      </c>
      <c r="F6" s="17"/>
      <c r="G6" s="22"/>
      <c r="H6" s="10"/>
      <c r="I6" s="12"/>
      <c r="J6" s="12"/>
      <c r="K6" s="12"/>
      <c r="L6" s="18"/>
      <c r="M6" s="18"/>
      <c r="N6" s="7"/>
      <c r="O6" s="7"/>
      <c r="P6" s="7"/>
      <c r="Q6" s="7"/>
      <c r="R6" s="7"/>
      <c r="S6" s="7"/>
      <c r="T6" s="7"/>
      <c r="U6" s="7"/>
      <c r="V6" s="7"/>
      <c r="W6" s="7"/>
      <c r="X6" s="7"/>
      <c r="Y6" s="7"/>
      <c r="Z6" s="7"/>
      <c r="AA6" s="7"/>
      <c r="AB6" s="7"/>
      <c r="AC6" s="7"/>
    </row>
    <row r="7" spans="1:29" ht="18.5" x14ac:dyDescent="0.45">
      <c r="A7" s="9"/>
      <c r="B7" s="9"/>
      <c r="C7" s="19"/>
      <c r="D7" s="3" t="s">
        <v>17</v>
      </c>
      <c r="E7" s="21" t="s">
        <v>12</v>
      </c>
      <c r="F7" s="17"/>
      <c r="G7" s="22"/>
      <c r="H7" s="10"/>
      <c r="I7" s="12"/>
      <c r="J7" s="12"/>
      <c r="K7" s="12"/>
      <c r="L7" s="18"/>
      <c r="M7" s="18"/>
      <c r="N7" s="7"/>
      <c r="O7" s="7"/>
      <c r="P7" s="7"/>
      <c r="Q7" s="7"/>
      <c r="R7" s="7"/>
      <c r="S7" s="7"/>
      <c r="T7" s="7"/>
      <c r="U7" s="7"/>
      <c r="V7" s="7"/>
      <c r="W7" s="7"/>
      <c r="X7" s="7"/>
      <c r="Y7" s="7"/>
      <c r="Z7" s="7"/>
      <c r="AA7" s="7"/>
      <c r="AB7" s="7"/>
      <c r="AC7" s="7"/>
    </row>
    <row r="8" spans="1:29" s="49" customFormat="1" ht="18.5" x14ac:dyDescent="0.45">
      <c r="A8" s="39"/>
      <c r="B8" s="39"/>
      <c r="C8" s="40" t="s">
        <v>18</v>
      </c>
      <c r="D8" s="41" t="s">
        <v>19</v>
      </c>
      <c r="E8" s="42"/>
      <c r="F8" s="43" t="s">
        <v>211</v>
      </c>
      <c r="G8" s="44">
        <v>2</v>
      </c>
      <c r="H8" s="42"/>
      <c r="I8" s="46">
        <f t="shared" ref="I8:I9" si="3">IF(OR(F8 = "maybe", F8 = "yes"),G8, 0)</f>
        <v>2</v>
      </c>
      <c r="J8" s="46">
        <f t="shared" ref="J8:J9" si="4">IF(F8 = "yes",G8, 0)</f>
        <v>2</v>
      </c>
      <c r="K8" s="46">
        <f t="shared" ref="K8:K9" si="5">IF(F8 = "yes",G8, 0)</f>
        <v>2</v>
      </c>
      <c r="L8" s="47"/>
      <c r="M8" s="47"/>
      <c r="N8" s="48"/>
      <c r="O8" s="48"/>
      <c r="P8" s="48"/>
      <c r="Q8" s="48"/>
      <c r="R8" s="48"/>
      <c r="S8" s="48"/>
      <c r="T8" s="48"/>
      <c r="U8" s="48"/>
      <c r="V8" s="48"/>
      <c r="W8" s="48"/>
      <c r="X8" s="48"/>
      <c r="Y8" s="48"/>
      <c r="Z8" s="48"/>
      <c r="AA8" s="48"/>
      <c r="AB8" s="48"/>
      <c r="AC8" s="48"/>
    </row>
    <row r="9" spans="1:29" s="49" customFormat="1" ht="18.5" x14ac:dyDescent="0.45">
      <c r="A9" s="39"/>
      <c r="B9" s="39"/>
      <c r="C9" s="40" t="s">
        <v>20</v>
      </c>
      <c r="D9" s="41" t="s">
        <v>21</v>
      </c>
      <c r="E9" s="42"/>
      <c r="F9" s="43" t="s">
        <v>211</v>
      </c>
      <c r="G9" s="44">
        <v>2</v>
      </c>
      <c r="H9" s="42"/>
      <c r="I9" s="46">
        <f t="shared" si="3"/>
        <v>2</v>
      </c>
      <c r="J9" s="46">
        <f t="shared" si="4"/>
        <v>2</v>
      </c>
      <c r="K9" s="46">
        <f t="shared" si="5"/>
        <v>2</v>
      </c>
      <c r="L9" s="47"/>
      <c r="M9" s="47"/>
      <c r="N9" s="48"/>
      <c r="O9" s="48"/>
      <c r="P9" s="48"/>
      <c r="Q9" s="48"/>
      <c r="R9" s="48"/>
      <c r="S9" s="48"/>
      <c r="T9" s="48"/>
      <c r="U9" s="48"/>
      <c r="V9" s="48"/>
      <c r="W9" s="48"/>
      <c r="X9" s="48"/>
      <c r="Y9" s="48"/>
      <c r="Z9" s="48"/>
      <c r="AA9" s="48"/>
      <c r="AB9" s="48"/>
      <c r="AC9" s="48"/>
    </row>
    <row r="10" spans="1:29" ht="18.5" x14ac:dyDescent="0.45">
      <c r="A10" s="9"/>
      <c r="B10" s="9"/>
      <c r="C10" s="19"/>
      <c r="D10" s="3" t="s">
        <v>22</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5" x14ac:dyDescent="0.45">
      <c r="A11" s="9"/>
      <c r="B11" s="9"/>
      <c r="C11" s="19"/>
      <c r="D11" s="3" t="s">
        <v>23</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5" x14ac:dyDescent="0.45">
      <c r="A12" s="9"/>
      <c r="B12" s="9"/>
      <c r="C12" s="19"/>
      <c r="D12" s="3" t="s">
        <v>24</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s="49" customFormat="1" ht="18.5" x14ac:dyDescent="0.45">
      <c r="A13" s="39"/>
      <c r="B13" s="39"/>
      <c r="C13" s="40" t="s">
        <v>25</v>
      </c>
      <c r="D13" s="41" t="s">
        <v>26</v>
      </c>
      <c r="E13" s="42"/>
      <c r="F13" s="43" t="s">
        <v>211</v>
      </c>
      <c r="G13" s="44">
        <v>2</v>
      </c>
      <c r="H13" s="42"/>
      <c r="I13" s="46">
        <f>IF(OR(F13 = "maybe", F13 = "yes"),G13, 0)</f>
        <v>2</v>
      </c>
      <c r="J13" s="46">
        <f>IF(F13 = "yes",G13, 0)</f>
        <v>2</v>
      </c>
      <c r="K13" s="46">
        <f>IF(F13 = "yes",G13, 0)</f>
        <v>2</v>
      </c>
      <c r="L13" s="47"/>
      <c r="M13" s="47"/>
      <c r="N13" s="48"/>
      <c r="O13" s="48"/>
      <c r="P13" s="48"/>
      <c r="Q13" s="48"/>
      <c r="R13" s="48"/>
      <c r="S13" s="48"/>
      <c r="T13" s="48"/>
      <c r="U13" s="48"/>
      <c r="V13" s="48"/>
      <c r="W13" s="48"/>
      <c r="X13" s="48"/>
      <c r="Y13" s="48"/>
      <c r="Z13" s="48"/>
      <c r="AA13" s="48"/>
      <c r="AB13" s="48"/>
      <c r="AC13" s="48"/>
    </row>
    <row r="14" spans="1:29" ht="18.5" x14ac:dyDescent="0.45">
      <c r="A14" s="9"/>
      <c r="B14" s="15" t="s">
        <v>27</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s="49" customFormat="1" ht="18.5" x14ac:dyDescent="0.45">
      <c r="A15" s="39"/>
      <c r="B15" s="39"/>
      <c r="C15" s="40" t="s">
        <v>28</v>
      </c>
      <c r="D15" s="41" t="s">
        <v>29</v>
      </c>
      <c r="E15" s="42"/>
      <c r="F15" s="43" t="s">
        <v>211</v>
      </c>
      <c r="G15" s="44">
        <v>2</v>
      </c>
      <c r="H15" s="45"/>
      <c r="I15" s="46">
        <f>IF(OR(F15 = "maybe", F15 = "yes"),G15, 0)</f>
        <v>2</v>
      </c>
      <c r="J15" s="46">
        <f>IF(F15 = "yes",G15, 0)</f>
        <v>2</v>
      </c>
      <c r="K15" s="46">
        <f>IF(F15 = "yes",G15, 0)</f>
        <v>2</v>
      </c>
      <c r="L15" s="47"/>
      <c r="M15" s="47"/>
      <c r="N15" s="48"/>
      <c r="O15" s="48"/>
      <c r="P15" s="48"/>
      <c r="Q15" s="48"/>
      <c r="R15" s="48"/>
      <c r="S15" s="48"/>
      <c r="T15" s="48"/>
      <c r="U15" s="48"/>
      <c r="V15" s="48"/>
      <c r="W15" s="48"/>
      <c r="X15" s="48"/>
      <c r="Y15" s="48"/>
      <c r="Z15" s="48"/>
      <c r="AA15" s="48"/>
      <c r="AB15" s="48"/>
      <c r="AC15" s="48"/>
    </row>
    <row r="16" spans="1:29" ht="18.5" x14ac:dyDescent="0.45">
      <c r="A16" s="9"/>
      <c r="B16" s="9"/>
      <c r="C16" s="19"/>
      <c r="D16" s="3" t="s">
        <v>30</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7" x14ac:dyDescent="0.45">
      <c r="A17" s="9"/>
      <c r="B17" s="9"/>
      <c r="C17" s="19" t="s">
        <v>31</v>
      </c>
      <c r="D17" s="20" t="s">
        <v>32</v>
      </c>
      <c r="E17" s="10"/>
      <c r="F17" s="38" t="s">
        <v>12</v>
      </c>
      <c r="G17" s="22">
        <v>2</v>
      </c>
      <c r="H17" s="23"/>
      <c r="I17" s="12">
        <f t="shared" ref="I17:I18" si="6">IF(OR(F17 = "maybe", F17 = "yes"),G17, 0)</f>
        <v>0</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s="49" customFormat="1" ht="23.25" customHeight="1" x14ac:dyDescent="0.45">
      <c r="A18" s="39"/>
      <c r="B18" s="39"/>
      <c r="C18" s="40" t="s">
        <v>33</v>
      </c>
      <c r="D18" s="41" t="s">
        <v>34</v>
      </c>
      <c r="E18" s="42"/>
      <c r="F18" s="43" t="s">
        <v>211</v>
      </c>
      <c r="G18" s="44">
        <v>2</v>
      </c>
      <c r="H18" s="45"/>
      <c r="I18" s="46">
        <f t="shared" si="6"/>
        <v>2</v>
      </c>
      <c r="J18" s="46">
        <f t="shared" si="7"/>
        <v>2</v>
      </c>
      <c r="K18" s="46">
        <f t="shared" si="8"/>
        <v>2</v>
      </c>
      <c r="L18" s="47"/>
      <c r="M18" s="47"/>
      <c r="N18" s="48"/>
      <c r="O18" s="48"/>
      <c r="P18" s="48"/>
      <c r="Q18" s="48"/>
      <c r="R18" s="48"/>
      <c r="S18" s="48"/>
      <c r="T18" s="48"/>
      <c r="U18" s="48"/>
      <c r="V18" s="48"/>
      <c r="W18" s="48"/>
      <c r="X18" s="48"/>
      <c r="Y18" s="48"/>
      <c r="Z18" s="48"/>
      <c r="AA18" s="48"/>
      <c r="AB18" s="48"/>
      <c r="AC18" s="48"/>
    </row>
    <row r="19" spans="1:29" ht="23.25" customHeight="1" x14ac:dyDescent="0.45">
      <c r="A19" s="9"/>
      <c r="B19" s="9"/>
      <c r="C19" s="19"/>
      <c r="D19" s="3" t="s">
        <v>35</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5" x14ac:dyDescent="0.45">
      <c r="A20" s="8" t="s">
        <v>36</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5" x14ac:dyDescent="0.45">
      <c r="A21" s="9"/>
      <c r="B21" s="15" t="s">
        <v>37</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s="49" customFormat="1" ht="18.5" x14ac:dyDescent="0.45">
      <c r="A22" s="39"/>
      <c r="B22" s="39"/>
      <c r="C22" s="40" t="s">
        <v>38</v>
      </c>
      <c r="D22" s="41" t="s">
        <v>39</v>
      </c>
      <c r="E22" s="42"/>
      <c r="F22" s="43" t="s">
        <v>211</v>
      </c>
      <c r="G22" s="44">
        <v>2</v>
      </c>
      <c r="H22" s="45" t="s">
        <v>13</v>
      </c>
      <c r="I22" s="46">
        <f t="shared" ref="I22:I23" si="9">IF(OR(F22 = "maybe", F22 = "yes"),G22, 0)</f>
        <v>2</v>
      </c>
      <c r="J22" s="46">
        <f t="shared" ref="J22:J23" si="10">IF(F22 = "yes",G22, 0)</f>
        <v>2</v>
      </c>
      <c r="K22" s="46">
        <f>IF(F22 = "yes",G22, $M$2)</f>
        <v>2</v>
      </c>
      <c r="L22" s="47"/>
      <c r="M22" s="47"/>
      <c r="N22" s="48"/>
      <c r="O22" s="48"/>
      <c r="P22" s="48"/>
      <c r="Q22" s="48"/>
      <c r="R22" s="48"/>
      <c r="S22" s="48"/>
      <c r="T22" s="48"/>
      <c r="U22" s="48"/>
      <c r="V22" s="48"/>
      <c r="W22" s="48"/>
      <c r="X22" s="48"/>
      <c r="Y22" s="48"/>
      <c r="Z22" s="48"/>
      <c r="AA22" s="48"/>
      <c r="AB22" s="48"/>
      <c r="AC22" s="48"/>
    </row>
    <row r="23" spans="1:29" s="49" customFormat="1" ht="18.5" x14ac:dyDescent="0.45">
      <c r="A23" s="39"/>
      <c r="B23" s="39"/>
      <c r="C23" s="40" t="s">
        <v>40</v>
      </c>
      <c r="D23" s="41" t="s">
        <v>41</v>
      </c>
      <c r="E23" s="42"/>
      <c r="F23" s="43" t="s">
        <v>211</v>
      </c>
      <c r="G23" s="44">
        <v>2</v>
      </c>
      <c r="H23" s="42"/>
      <c r="I23" s="46">
        <f t="shared" si="9"/>
        <v>2</v>
      </c>
      <c r="J23" s="46">
        <f t="shared" si="10"/>
        <v>2</v>
      </c>
      <c r="K23" s="46">
        <f>IF(F23 = "yes",G23, 0)</f>
        <v>2</v>
      </c>
      <c r="L23" s="47"/>
      <c r="M23" s="47"/>
      <c r="N23" s="48"/>
      <c r="O23" s="48"/>
      <c r="P23" s="48"/>
      <c r="Q23" s="48"/>
      <c r="R23" s="48"/>
      <c r="S23" s="48"/>
      <c r="T23" s="48"/>
      <c r="U23" s="48"/>
      <c r="V23" s="48"/>
      <c r="W23" s="48"/>
      <c r="X23" s="48"/>
      <c r="Y23" s="48"/>
      <c r="Z23" s="48"/>
      <c r="AA23" s="48"/>
      <c r="AB23" s="48"/>
      <c r="AC23" s="48"/>
    </row>
    <row r="24" spans="1:29" ht="18.5" x14ac:dyDescent="0.45">
      <c r="A24" s="9"/>
      <c r="B24" s="9"/>
      <c r="C24" s="19"/>
      <c r="D24" s="3" t="s">
        <v>42</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5" x14ac:dyDescent="0.45">
      <c r="A25" s="9"/>
      <c r="B25" s="9"/>
      <c r="C25" s="19"/>
      <c r="D25" s="3" t="s">
        <v>43</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s="49" customFormat="1" ht="18.5" x14ac:dyDescent="0.45">
      <c r="A26" s="39"/>
      <c r="B26" s="39"/>
      <c r="C26" s="40" t="s">
        <v>44</v>
      </c>
      <c r="D26" s="41" t="s">
        <v>45</v>
      </c>
      <c r="E26" s="42"/>
      <c r="F26" s="43" t="s">
        <v>211</v>
      </c>
      <c r="G26" s="44">
        <v>2</v>
      </c>
      <c r="H26" s="45" t="s">
        <v>13</v>
      </c>
      <c r="I26" s="46">
        <f t="shared" ref="I26:I27" si="11">IF(OR(F26 = "maybe", F26 = "yes"),G26, 0)</f>
        <v>2</v>
      </c>
      <c r="J26" s="46">
        <f t="shared" ref="J26:J27" si="12">IF(F26 = "yes",G26, 0)</f>
        <v>2</v>
      </c>
      <c r="K26" s="46">
        <f>IF(F26 = "yes",G26, $M$2)</f>
        <v>2</v>
      </c>
      <c r="L26" s="47"/>
      <c r="M26" s="47"/>
      <c r="N26" s="48"/>
      <c r="O26" s="48"/>
      <c r="P26" s="48"/>
      <c r="Q26" s="48"/>
      <c r="R26" s="48"/>
      <c r="S26" s="48"/>
      <c r="T26" s="48"/>
      <c r="U26" s="48"/>
      <c r="V26" s="48"/>
      <c r="W26" s="48"/>
      <c r="X26" s="48"/>
      <c r="Y26" s="48"/>
      <c r="Z26" s="48"/>
      <c r="AA26" s="48"/>
      <c r="AB26" s="48"/>
      <c r="AC26" s="48"/>
    </row>
    <row r="27" spans="1:29" s="61" customFormat="1" ht="18.5" x14ac:dyDescent="0.45">
      <c r="A27" s="52"/>
      <c r="B27" s="52"/>
      <c r="C27" s="53" t="s">
        <v>46</v>
      </c>
      <c r="D27" s="54" t="s">
        <v>47</v>
      </c>
      <c r="E27" s="55"/>
      <c r="F27" s="56" t="s">
        <v>211</v>
      </c>
      <c r="G27" s="57">
        <v>2</v>
      </c>
      <c r="H27" s="55"/>
      <c r="I27" s="58">
        <f t="shared" si="11"/>
        <v>2</v>
      </c>
      <c r="J27" s="58">
        <f t="shared" si="12"/>
        <v>2</v>
      </c>
      <c r="K27" s="58">
        <f>IF(F27 = "yes",G27, 0)</f>
        <v>2</v>
      </c>
      <c r="L27" s="59"/>
      <c r="M27" s="59"/>
      <c r="N27" s="60"/>
      <c r="O27" s="60"/>
      <c r="P27" s="60"/>
      <c r="Q27" s="60"/>
      <c r="R27" s="60"/>
      <c r="S27" s="60"/>
      <c r="T27" s="60"/>
      <c r="U27" s="60"/>
      <c r="V27" s="60"/>
      <c r="W27" s="60"/>
      <c r="X27" s="60"/>
      <c r="Y27" s="60"/>
      <c r="Z27" s="60"/>
      <c r="AA27" s="60"/>
      <c r="AB27" s="60"/>
      <c r="AC27" s="60"/>
    </row>
    <row r="28" spans="1:29" ht="18.5" x14ac:dyDescent="0.45">
      <c r="A28" s="9"/>
      <c r="B28" s="9"/>
      <c r="C28" s="19"/>
      <c r="D28" s="3" t="s">
        <v>48</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5" x14ac:dyDescent="0.45">
      <c r="A29" s="9"/>
      <c r="B29" s="9"/>
      <c r="C29" s="19"/>
      <c r="D29" s="3" t="s">
        <v>49</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7" x14ac:dyDescent="0.45">
      <c r="A30" s="9"/>
      <c r="B30" s="9"/>
      <c r="C30" s="19"/>
      <c r="D30" s="3" t="s">
        <v>50</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5" x14ac:dyDescent="0.45">
      <c r="A31" s="9"/>
      <c r="B31" s="9"/>
      <c r="C31" s="19"/>
      <c r="D31" s="3" t="s">
        <v>51</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s="49" customFormat="1" ht="18.5" x14ac:dyDescent="0.45">
      <c r="A32" s="39"/>
      <c r="B32" s="39"/>
      <c r="C32" s="50" t="s">
        <v>52</v>
      </c>
      <c r="D32" s="51" t="s">
        <v>53</v>
      </c>
      <c r="E32" s="42"/>
      <c r="F32" s="43" t="s">
        <v>211</v>
      </c>
      <c r="G32" s="44">
        <v>2</v>
      </c>
      <c r="H32" s="42"/>
      <c r="I32" s="46">
        <f>IF(OR(F32 = "maybe", F32 = "yes"),G32, 0)</f>
        <v>2</v>
      </c>
      <c r="J32" s="46">
        <f>IF(F32 = "yes",G32, 0)</f>
        <v>2</v>
      </c>
      <c r="K32" s="46">
        <f>IF(F32 = "yes",G32, 0)</f>
        <v>2</v>
      </c>
      <c r="L32" s="47"/>
      <c r="M32" s="47"/>
      <c r="N32" s="48"/>
      <c r="O32" s="48"/>
      <c r="P32" s="48"/>
      <c r="Q32" s="48"/>
      <c r="R32" s="48"/>
      <c r="S32" s="48"/>
      <c r="T32" s="48"/>
      <c r="U32" s="48"/>
      <c r="V32" s="48"/>
      <c r="W32" s="48"/>
      <c r="X32" s="48"/>
      <c r="Y32" s="48"/>
      <c r="Z32" s="48"/>
      <c r="AA32" s="48"/>
      <c r="AB32" s="48"/>
      <c r="AC32" s="48"/>
    </row>
    <row r="33" spans="1:29" ht="21" customHeight="1" x14ac:dyDescent="0.45">
      <c r="A33" s="9"/>
      <c r="B33" s="9"/>
      <c r="C33" s="24"/>
      <c r="D33" s="3" t="s">
        <v>213</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s="49" customFormat="1" ht="18.5" x14ac:dyDescent="0.45">
      <c r="A34" s="39"/>
      <c r="B34" s="39"/>
      <c r="C34" s="40" t="s">
        <v>54</v>
      </c>
      <c r="D34" s="41" t="s">
        <v>55</v>
      </c>
      <c r="E34" s="42"/>
      <c r="F34" s="43" t="s">
        <v>211</v>
      </c>
      <c r="G34" s="44">
        <v>4</v>
      </c>
      <c r="H34" s="45" t="s">
        <v>13</v>
      </c>
      <c r="I34" s="46">
        <f>IF(OR(F34 = "maybe", F34 = "yes"),G34, 0)</f>
        <v>4</v>
      </c>
      <c r="J34" s="46">
        <f>IF(F34 = "yes",G34, 0)</f>
        <v>4</v>
      </c>
      <c r="K34" s="46">
        <f>IF(F34 = "yes",G34, $M$2)</f>
        <v>4</v>
      </c>
      <c r="L34" s="47"/>
      <c r="M34" s="47"/>
      <c r="N34" s="48"/>
      <c r="O34" s="48"/>
      <c r="P34" s="48"/>
      <c r="Q34" s="48"/>
      <c r="R34" s="48"/>
      <c r="S34" s="48"/>
      <c r="T34" s="48"/>
      <c r="U34" s="48"/>
      <c r="V34" s="48"/>
      <c r="W34" s="48"/>
      <c r="X34" s="48"/>
      <c r="Y34" s="48"/>
      <c r="Z34" s="48"/>
      <c r="AA34" s="48"/>
      <c r="AB34" s="48"/>
      <c r="AC34" s="48"/>
    </row>
    <row r="35" spans="1:29" ht="18.5" x14ac:dyDescent="0.45">
      <c r="A35" s="9"/>
      <c r="B35" s="9"/>
      <c r="C35" s="19"/>
      <c r="D35" s="3" t="s">
        <v>56</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5" x14ac:dyDescent="0.45">
      <c r="A36" s="9"/>
      <c r="B36" s="9"/>
      <c r="C36" s="19"/>
      <c r="D36" s="3" t="s">
        <v>57</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5" x14ac:dyDescent="0.45">
      <c r="A37" s="9"/>
      <c r="B37" s="9"/>
      <c r="C37" s="19"/>
      <c r="D37" s="3" t="s">
        <v>58</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5" x14ac:dyDescent="0.45">
      <c r="A38" s="9"/>
      <c r="B38" s="9"/>
      <c r="C38" s="19"/>
      <c r="D38" s="3" t="s">
        <v>59</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5" x14ac:dyDescent="0.45">
      <c r="A39" s="9"/>
      <c r="B39" s="9"/>
      <c r="C39" s="19"/>
      <c r="D39" s="3" t="s">
        <v>60</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5" x14ac:dyDescent="0.45">
      <c r="A40" s="9"/>
      <c r="B40" s="9"/>
      <c r="C40" s="19"/>
      <c r="D40" s="3" t="s">
        <v>61</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5" x14ac:dyDescent="0.45">
      <c r="A41" s="8" t="s">
        <v>62</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5" x14ac:dyDescent="0.45">
      <c r="A42" s="7"/>
      <c r="B42" s="15" t="s">
        <v>37</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s="49" customFormat="1" ht="18.5" x14ac:dyDescent="0.45">
      <c r="A43" s="48"/>
      <c r="B43" s="48"/>
      <c r="C43" s="40" t="s">
        <v>63</v>
      </c>
      <c r="D43" s="41" t="s">
        <v>64</v>
      </c>
      <c r="E43" s="42"/>
      <c r="F43" s="43" t="s">
        <v>211</v>
      </c>
      <c r="G43" s="44">
        <v>4</v>
      </c>
      <c r="H43" s="45" t="s">
        <v>13</v>
      </c>
      <c r="I43" s="46">
        <f t="shared" ref="I43:I44" si="13">IF(OR(F43 = "maybe", F43 = "yes"),G43, 0)</f>
        <v>4</v>
      </c>
      <c r="J43" s="46">
        <f t="shared" ref="J43:J44" si="14">IF(F43 = "yes",G43, 0)</f>
        <v>4</v>
      </c>
      <c r="K43" s="46">
        <f>IF(F43 = "yes",G43, $M$2)</f>
        <v>4</v>
      </c>
      <c r="L43" s="47"/>
      <c r="M43" s="47"/>
      <c r="N43" s="48"/>
      <c r="O43" s="48"/>
      <c r="P43" s="48"/>
      <c r="Q43" s="48"/>
      <c r="R43" s="48"/>
      <c r="S43" s="48"/>
      <c r="T43" s="48"/>
      <c r="U43" s="48"/>
      <c r="V43" s="48"/>
      <c r="W43" s="48"/>
      <c r="X43" s="48"/>
      <c r="Y43" s="48"/>
      <c r="Z43" s="48"/>
      <c r="AA43" s="48"/>
      <c r="AB43" s="48"/>
      <c r="AC43" s="48"/>
    </row>
    <row r="44" spans="1:29" s="49" customFormat="1" ht="18.5" x14ac:dyDescent="0.45">
      <c r="A44" s="48"/>
      <c r="B44" s="48"/>
      <c r="C44" s="40" t="s">
        <v>65</v>
      </c>
      <c r="D44" s="41" t="s">
        <v>66</v>
      </c>
      <c r="E44" s="42"/>
      <c r="F44" s="43" t="s">
        <v>211</v>
      </c>
      <c r="G44" s="44">
        <v>4</v>
      </c>
      <c r="H44" s="42"/>
      <c r="I44" s="46">
        <f t="shared" si="13"/>
        <v>4</v>
      </c>
      <c r="J44" s="46">
        <f t="shared" si="14"/>
        <v>4</v>
      </c>
      <c r="K44" s="46">
        <f>IF(F44 = "yes",G44, 0)</f>
        <v>4</v>
      </c>
      <c r="L44" s="47"/>
      <c r="M44" s="47"/>
      <c r="N44" s="48"/>
      <c r="O44" s="48"/>
      <c r="P44" s="48"/>
      <c r="Q44" s="48"/>
      <c r="R44" s="48"/>
      <c r="S44" s="48"/>
      <c r="T44" s="48"/>
      <c r="U44" s="48"/>
      <c r="V44" s="48"/>
      <c r="W44" s="48"/>
      <c r="X44" s="48"/>
      <c r="Y44" s="48"/>
      <c r="Z44" s="48"/>
      <c r="AA44" s="48"/>
      <c r="AB44" s="48"/>
      <c r="AC44" s="48"/>
    </row>
    <row r="45" spans="1:29" ht="18.5" x14ac:dyDescent="0.45">
      <c r="A45" s="7"/>
      <c r="B45" s="7"/>
      <c r="D45" s="3" t="s">
        <v>67</v>
      </c>
      <c r="E45" s="25"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5" x14ac:dyDescent="0.45">
      <c r="A46" s="7"/>
      <c r="B46" s="7"/>
      <c r="C46" s="19"/>
      <c r="D46" s="3" t="s">
        <v>68</v>
      </c>
      <c r="E46" s="25"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5" x14ac:dyDescent="0.45">
      <c r="A47" s="7"/>
      <c r="B47" s="7"/>
      <c r="C47" s="19"/>
      <c r="D47" s="3" t="s">
        <v>69</v>
      </c>
      <c r="E47" s="25"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s="49" customFormat="1" ht="18.5" x14ac:dyDescent="0.45">
      <c r="A48" s="48"/>
      <c r="B48" s="48"/>
      <c r="C48" s="40" t="s">
        <v>70</v>
      </c>
      <c r="D48" s="41" t="s">
        <v>71</v>
      </c>
      <c r="E48" s="42"/>
      <c r="F48" s="43" t="s">
        <v>211</v>
      </c>
      <c r="G48" s="44">
        <v>8</v>
      </c>
      <c r="H48" s="45" t="s">
        <v>13</v>
      </c>
      <c r="I48" s="46">
        <f>IF(OR(F48 = "maybe", F48 = "yes"),G48, 0)</f>
        <v>8</v>
      </c>
      <c r="J48" s="46">
        <f>IF(F48 = "yes",G48, 0)</f>
        <v>8</v>
      </c>
      <c r="K48" s="46">
        <f>IF(F48 = "yes",G48, $M$2)</f>
        <v>8</v>
      </c>
      <c r="L48" s="47"/>
      <c r="M48" s="47"/>
      <c r="N48" s="48"/>
      <c r="O48" s="48"/>
      <c r="P48" s="48"/>
      <c r="Q48" s="48"/>
      <c r="R48" s="48"/>
      <c r="S48" s="48"/>
      <c r="T48" s="48"/>
      <c r="U48" s="48"/>
      <c r="V48" s="48"/>
      <c r="W48" s="48"/>
      <c r="X48" s="48"/>
      <c r="Y48" s="48"/>
      <c r="Z48" s="48"/>
      <c r="AA48" s="48"/>
      <c r="AB48" s="48"/>
      <c r="AC48" s="48"/>
    </row>
    <row r="49" spans="1:29" ht="18.5" x14ac:dyDescent="0.45">
      <c r="A49" s="7"/>
      <c r="B49" s="7"/>
      <c r="C49" s="19"/>
      <c r="D49" s="3" t="s">
        <v>72</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5" x14ac:dyDescent="0.45">
      <c r="A50" s="7"/>
      <c r="B50" s="7"/>
      <c r="C50" s="19"/>
      <c r="D50" s="3" t="s">
        <v>73</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5" x14ac:dyDescent="0.45">
      <c r="A51" s="7"/>
      <c r="B51" s="7"/>
      <c r="C51" s="19"/>
      <c r="D51" s="3" t="s">
        <v>74</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5" x14ac:dyDescent="0.45">
      <c r="A52" s="7"/>
      <c r="B52" s="7"/>
      <c r="C52" s="19"/>
      <c r="D52" s="3" t="s">
        <v>75</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5" x14ac:dyDescent="0.45">
      <c r="A53" s="7"/>
      <c r="B53" s="7"/>
      <c r="C53" s="19"/>
      <c r="D53" s="3" t="s">
        <v>76</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s="49" customFormat="1" ht="18.5" x14ac:dyDescent="0.45">
      <c r="A54" s="48"/>
      <c r="B54" s="48"/>
      <c r="C54" s="40" t="s">
        <v>77</v>
      </c>
      <c r="D54" s="41" t="s">
        <v>78</v>
      </c>
      <c r="E54" s="42"/>
      <c r="F54" s="43" t="s">
        <v>211</v>
      </c>
      <c r="G54" s="44">
        <v>8</v>
      </c>
      <c r="H54" s="42"/>
      <c r="I54" s="46">
        <f>IF(OR(F54 = "maybe", F54 = "yes"),G54, 0)</f>
        <v>8</v>
      </c>
      <c r="J54" s="46">
        <f>IF(F54 = "yes",G54, 0)</f>
        <v>8</v>
      </c>
      <c r="K54" s="46">
        <f>IF(F54 = "yes",G54, 0)</f>
        <v>8</v>
      </c>
      <c r="L54" s="47"/>
      <c r="M54" s="47"/>
      <c r="N54" s="48"/>
      <c r="O54" s="48"/>
      <c r="P54" s="48"/>
      <c r="Q54" s="48"/>
      <c r="R54" s="48"/>
      <c r="S54" s="48"/>
      <c r="T54" s="48"/>
      <c r="U54" s="48"/>
      <c r="V54" s="48"/>
      <c r="W54" s="48"/>
      <c r="X54" s="48"/>
      <c r="Y54" s="48"/>
      <c r="Z54" s="48"/>
      <c r="AA54" s="48"/>
      <c r="AB54" s="48"/>
      <c r="AC54" s="48"/>
    </row>
    <row r="55" spans="1:29" ht="37" x14ac:dyDescent="0.45">
      <c r="A55" s="7"/>
      <c r="B55" s="7"/>
      <c r="C55" s="19"/>
      <c r="D55" s="3" t="s">
        <v>79</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5" x14ac:dyDescent="0.45">
      <c r="A56" s="7"/>
      <c r="B56" s="7"/>
      <c r="C56" s="19"/>
      <c r="D56" s="3" t="s">
        <v>80</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5" x14ac:dyDescent="0.45">
      <c r="A57" s="7"/>
      <c r="B57" s="7"/>
      <c r="C57" s="19"/>
      <c r="D57" s="3" t="s">
        <v>81</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7" x14ac:dyDescent="0.45">
      <c r="A58" s="7"/>
      <c r="B58" s="7"/>
      <c r="C58" s="19"/>
      <c r="D58" s="3" t="s">
        <v>82</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s="49" customFormat="1" ht="18.5" x14ac:dyDescent="0.45">
      <c r="A59" s="48"/>
      <c r="B59" s="48"/>
      <c r="C59" s="40" t="s">
        <v>83</v>
      </c>
      <c r="D59" s="41" t="s">
        <v>84</v>
      </c>
      <c r="E59" s="42"/>
      <c r="F59" s="43" t="s">
        <v>211</v>
      </c>
      <c r="G59" s="44">
        <v>4</v>
      </c>
      <c r="H59" s="42"/>
      <c r="I59" s="46">
        <f>IF(OR(F59 = "maybe", F59 = "yes"),G59, 0)</f>
        <v>4</v>
      </c>
      <c r="J59" s="46">
        <f>IF(F59 = "yes",G59, 0)</f>
        <v>4</v>
      </c>
      <c r="K59" s="46">
        <f>IF(F59 = "yes",G59, 0)</f>
        <v>4</v>
      </c>
      <c r="L59" s="47"/>
      <c r="M59" s="47"/>
      <c r="N59" s="48"/>
      <c r="O59" s="48"/>
      <c r="P59" s="48"/>
      <c r="Q59" s="48"/>
      <c r="R59" s="48"/>
      <c r="S59" s="48"/>
      <c r="T59" s="48"/>
      <c r="U59" s="48"/>
      <c r="V59" s="48"/>
      <c r="W59" s="48"/>
      <c r="X59" s="48"/>
      <c r="Y59" s="48"/>
      <c r="Z59" s="48"/>
      <c r="AA59" s="48"/>
      <c r="AB59" s="48"/>
      <c r="AC59" s="48"/>
    </row>
    <row r="60" spans="1:29" ht="18.5" x14ac:dyDescent="0.45">
      <c r="A60" s="7"/>
      <c r="B60" s="7"/>
      <c r="C60" s="19"/>
      <c r="D60" s="3" t="s">
        <v>85</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5" x14ac:dyDescent="0.45">
      <c r="A61" s="7"/>
      <c r="B61" s="7"/>
      <c r="C61" s="19"/>
      <c r="D61" s="3" t="s">
        <v>86</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5" x14ac:dyDescent="0.45">
      <c r="A62" s="7"/>
      <c r="B62" s="15" t="s">
        <v>87</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s="49" customFormat="1" ht="37" x14ac:dyDescent="0.45">
      <c r="A63" s="48"/>
      <c r="B63" s="48"/>
      <c r="C63" s="40" t="s">
        <v>88</v>
      </c>
      <c r="D63" s="41" t="s">
        <v>89</v>
      </c>
      <c r="E63" s="42"/>
      <c r="F63" s="43" t="s">
        <v>211</v>
      </c>
      <c r="G63" s="44">
        <v>4</v>
      </c>
      <c r="H63" s="42"/>
      <c r="I63" s="46">
        <f>IF(OR(F63 = "maybe", F63 = "yes"),G63, 0)</f>
        <v>4</v>
      </c>
      <c r="J63" s="46">
        <f>IF(F63 = "yes",G63, 0)</f>
        <v>4</v>
      </c>
      <c r="K63" s="46">
        <f>IF(F63 = "yes",G63, 0)</f>
        <v>4</v>
      </c>
      <c r="L63" s="47"/>
      <c r="M63" s="47"/>
      <c r="N63" s="48"/>
      <c r="O63" s="48"/>
      <c r="P63" s="48"/>
      <c r="Q63" s="48"/>
      <c r="R63" s="48"/>
      <c r="S63" s="48"/>
      <c r="T63" s="48"/>
      <c r="U63" s="48"/>
      <c r="V63" s="48"/>
      <c r="W63" s="48"/>
      <c r="X63" s="48"/>
      <c r="Y63" s="48"/>
      <c r="Z63" s="48"/>
      <c r="AA63" s="48"/>
      <c r="AB63" s="48"/>
      <c r="AC63" s="48"/>
    </row>
    <row r="64" spans="1:29" ht="37" x14ac:dyDescent="0.45">
      <c r="A64" s="7"/>
      <c r="B64" s="7"/>
      <c r="C64" s="19"/>
      <c r="D64" s="3" t="s">
        <v>90</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7" x14ac:dyDescent="0.45">
      <c r="A65" s="7"/>
      <c r="B65" s="7"/>
      <c r="C65" s="19"/>
      <c r="D65" s="3" t="s">
        <v>91</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7" x14ac:dyDescent="0.45">
      <c r="A66" s="7"/>
      <c r="B66" s="7"/>
      <c r="C66" s="19"/>
      <c r="D66" s="3" t="s">
        <v>92</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5" x14ac:dyDescent="0.45">
      <c r="A67" s="7"/>
      <c r="B67" s="15" t="s">
        <v>93</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s="49" customFormat="1" ht="18.5" x14ac:dyDescent="0.45">
      <c r="A68" s="48"/>
      <c r="B68" s="48"/>
      <c r="C68" s="40" t="s">
        <v>94</v>
      </c>
      <c r="D68" s="41" t="s">
        <v>95</v>
      </c>
      <c r="E68" s="42"/>
      <c r="F68" s="43" t="s">
        <v>211</v>
      </c>
      <c r="G68" s="44">
        <v>2</v>
      </c>
      <c r="H68" s="42"/>
      <c r="I68" s="46">
        <f>IF(OR(F68 = "maybe", F68 = "yes"),G68, 0)</f>
        <v>2</v>
      </c>
      <c r="J68" s="46">
        <f>IF(F68 = "yes",G68, 0)</f>
        <v>2</v>
      </c>
      <c r="K68" s="46">
        <f>IF(F68 = "yes",G68, 0)</f>
        <v>2</v>
      </c>
      <c r="L68" s="47"/>
      <c r="M68" s="47"/>
      <c r="N68" s="48"/>
      <c r="O68" s="48"/>
      <c r="P68" s="48"/>
      <c r="Q68" s="48"/>
      <c r="R68" s="48"/>
      <c r="S68" s="48"/>
      <c r="T68" s="48"/>
      <c r="U68" s="48"/>
      <c r="V68" s="48"/>
      <c r="W68" s="48"/>
      <c r="X68" s="48"/>
      <c r="Y68" s="48"/>
      <c r="Z68" s="48"/>
      <c r="AA68" s="48"/>
      <c r="AB68" s="48"/>
      <c r="AC68" s="48"/>
    </row>
    <row r="69" spans="1:29" ht="18.5" x14ac:dyDescent="0.45">
      <c r="A69" s="7"/>
      <c r="B69" s="7"/>
      <c r="C69" s="19"/>
      <c r="D69" s="3" t="s">
        <v>96</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5" x14ac:dyDescent="0.45">
      <c r="A70" s="7"/>
      <c r="B70" s="7"/>
      <c r="C70" s="19"/>
      <c r="D70" s="3" t="s">
        <v>97</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5" x14ac:dyDescent="0.45">
      <c r="A71" s="7"/>
      <c r="B71" s="7"/>
      <c r="C71" s="19"/>
      <c r="D71" s="3" t="s">
        <v>98</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5" x14ac:dyDescent="0.45">
      <c r="A72" s="7"/>
      <c r="B72" s="7"/>
      <c r="C72" s="19"/>
      <c r="D72" s="3" t="s">
        <v>99</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s="49" customFormat="1" ht="18.5" x14ac:dyDescent="0.45">
      <c r="A73" s="48"/>
      <c r="B73" s="48"/>
      <c r="C73" s="40" t="s">
        <v>100</v>
      </c>
      <c r="D73" s="41" t="s">
        <v>101</v>
      </c>
      <c r="E73" s="42"/>
      <c r="F73" s="43" t="s">
        <v>211</v>
      </c>
      <c r="G73" s="44">
        <v>2</v>
      </c>
      <c r="H73" s="42"/>
      <c r="I73" s="46">
        <f>IF(OR(F73 = "maybe", F73 = "yes"),G73, 0)</f>
        <v>2</v>
      </c>
      <c r="J73" s="46">
        <f>IF(F73 = "yes",G73, 0)</f>
        <v>2</v>
      </c>
      <c r="K73" s="46">
        <f>IF(F73 = "yes",G73, 0)</f>
        <v>2</v>
      </c>
      <c r="L73" s="47"/>
      <c r="M73" s="47"/>
      <c r="N73" s="48"/>
      <c r="O73" s="48"/>
      <c r="P73" s="48"/>
      <c r="Q73" s="48"/>
      <c r="R73" s="48"/>
      <c r="S73" s="48"/>
      <c r="T73" s="48"/>
      <c r="U73" s="48"/>
      <c r="V73" s="48"/>
      <c r="W73" s="48"/>
      <c r="X73" s="48"/>
      <c r="Y73" s="48"/>
      <c r="Z73" s="48"/>
      <c r="AA73" s="48"/>
      <c r="AB73" s="48"/>
      <c r="AC73" s="48"/>
    </row>
    <row r="74" spans="1:29" ht="18.5" x14ac:dyDescent="0.45">
      <c r="A74" s="7"/>
      <c r="B74" s="7"/>
      <c r="C74" s="19"/>
      <c r="D74" s="3" t="s">
        <v>102</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5" x14ac:dyDescent="0.45">
      <c r="A75" s="7"/>
      <c r="B75" s="7"/>
      <c r="C75" s="19"/>
      <c r="D75" s="3" t="s">
        <v>103</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5" x14ac:dyDescent="0.45">
      <c r="A76" s="7"/>
      <c r="B76" s="15" t="s">
        <v>27</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s="49" customFormat="1" ht="18.5" x14ac:dyDescent="0.45">
      <c r="A77" s="48"/>
      <c r="B77" s="48"/>
      <c r="C77" s="40" t="s">
        <v>104</v>
      </c>
      <c r="D77" s="41" t="s">
        <v>105</v>
      </c>
      <c r="E77" s="42"/>
      <c r="F77" s="43" t="s">
        <v>211</v>
      </c>
      <c r="G77" s="44">
        <v>6</v>
      </c>
      <c r="H77" s="42"/>
      <c r="I77" s="46">
        <f>IF(OR(F77 = "maybe", F77 = "yes"),G77, 0)</f>
        <v>6</v>
      </c>
      <c r="J77" s="46">
        <f>IF(F77 = "yes",G77, 0)</f>
        <v>6</v>
      </c>
      <c r="K77" s="46">
        <f>IF(F77 = "yes",G77, 0)</f>
        <v>6</v>
      </c>
      <c r="L77" s="47"/>
      <c r="M77" s="47"/>
      <c r="N77" s="48"/>
      <c r="O77" s="48"/>
      <c r="P77" s="48"/>
      <c r="Q77" s="48"/>
      <c r="R77" s="48"/>
      <c r="S77" s="48"/>
      <c r="T77" s="48"/>
      <c r="U77" s="48"/>
      <c r="V77" s="48"/>
      <c r="W77" s="48"/>
      <c r="X77" s="48"/>
      <c r="Y77" s="48"/>
      <c r="Z77" s="48"/>
      <c r="AA77" s="48"/>
      <c r="AB77" s="48"/>
      <c r="AC77" s="48"/>
    </row>
    <row r="78" spans="1:29" ht="37" x14ac:dyDescent="0.45">
      <c r="A78" s="7"/>
      <c r="B78" s="7"/>
      <c r="C78" s="19"/>
      <c r="D78" s="3" t="s">
        <v>106</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5" x14ac:dyDescent="0.45">
      <c r="A79" s="7"/>
      <c r="B79" s="7"/>
      <c r="C79" s="19"/>
      <c r="D79" s="3" t="s">
        <v>107</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7" x14ac:dyDescent="0.45">
      <c r="A80" s="7"/>
      <c r="B80" s="7"/>
      <c r="C80" s="19"/>
      <c r="D80" s="3" t="s">
        <v>108</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7" x14ac:dyDescent="0.45">
      <c r="A81" s="7"/>
      <c r="B81" s="7"/>
      <c r="C81" s="19"/>
      <c r="D81" s="3" t="s">
        <v>109</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s="49" customFormat="1" ht="18.5" x14ac:dyDescent="0.45">
      <c r="A82" s="48"/>
      <c r="B82" s="48"/>
      <c r="C82" s="40" t="s">
        <v>110</v>
      </c>
      <c r="D82" s="41" t="s">
        <v>111</v>
      </c>
      <c r="E82" s="42"/>
      <c r="F82" s="43" t="s">
        <v>211</v>
      </c>
      <c r="G82" s="44">
        <v>2</v>
      </c>
      <c r="H82" s="42"/>
      <c r="I82" s="46">
        <f>IF(OR(F82 = "maybe", F82 = "yes"),G82, 0)</f>
        <v>2</v>
      </c>
      <c r="J82" s="46">
        <f>IF(F82 = "yes",G82, 0)</f>
        <v>2</v>
      </c>
      <c r="K82" s="46">
        <f>IF(F82 = "yes",G82, 0)</f>
        <v>2</v>
      </c>
      <c r="L82" s="47"/>
      <c r="M82" s="47"/>
      <c r="N82" s="48"/>
      <c r="O82" s="48"/>
      <c r="P82" s="48"/>
      <c r="Q82" s="48"/>
      <c r="R82" s="48"/>
      <c r="S82" s="48"/>
      <c r="T82" s="48"/>
      <c r="U82" s="48"/>
      <c r="V82" s="48"/>
      <c r="W82" s="48"/>
      <c r="X82" s="48"/>
      <c r="Y82" s="48"/>
      <c r="Z82" s="48"/>
      <c r="AA82" s="48"/>
      <c r="AB82" s="48"/>
      <c r="AC82" s="48"/>
    </row>
    <row r="83" spans="1:29" ht="37" x14ac:dyDescent="0.45">
      <c r="A83" s="7"/>
      <c r="B83" s="7"/>
      <c r="C83" s="19"/>
      <c r="D83" s="3" t="s">
        <v>112</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5" x14ac:dyDescent="0.45">
      <c r="A84" s="8" t="s">
        <v>113</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5" x14ac:dyDescent="0.45">
      <c r="A85" s="7"/>
      <c r="B85" s="15" t="s">
        <v>114</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s="61" customFormat="1" ht="18.5" x14ac:dyDescent="0.45">
      <c r="A86" s="60"/>
      <c r="B86" s="60"/>
      <c r="C86" s="53" t="s">
        <v>115</v>
      </c>
      <c r="D86" s="54" t="s">
        <v>116</v>
      </c>
      <c r="E86" s="55"/>
      <c r="F86" s="62" t="s">
        <v>211</v>
      </c>
      <c r="G86" s="57">
        <v>2</v>
      </c>
      <c r="H86" s="55"/>
      <c r="I86" s="58">
        <f>IF(OR(F86 = "maybe", F86 = "yes"),G86, 0)</f>
        <v>2</v>
      </c>
      <c r="J86" s="58">
        <f>IF(F86 = "yes",G86, 0)</f>
        <v>2</v>
      </c>
      <c r="K86" s="58">
        <f>IF(F86 = "yes",G86, 0)</f>
        <v>2</v>
      </c>
      <c r="L86" s="59"/>
      <c r="M86" s="59"/>
      <c r="N86" s="60"/>
      <c r="O86" s="60"/>
      <c r="P86" s="60"/>
      <c r="Q86" s="60"/>
      <c r="R86" s="60"/>
      <c r="S86" s="60"/>
      <c r="T86" s="60"/>
      <c r="U86" s="60"/>
      <c r="V86" s="60"/>
      <c r="W86" s="60"/>
      <c r="X86" s="60"/>
      <c r="Y86" s="60"/>
      <c r="Z86" s="60"/>
      <c r="AA86" s="60"/>
      <c r="AB86" s="60"/>
      <c r="AC86" s="60"/>
    </row>
    <row r="87" spans="1:29" ht="18.5" x14ac:dyDescent="0.45">
      <c r="A87" s="7"/>
      <c r="B87" s="7"/>
      <c r="C87" s="19"/>
      <c r="D87" s="3" t="s">
        <v>117</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5" x14ac:dyDescent="0.45">
      <c r="A88" s="7"/>
      <c r="B88" s="7"/>
      <c r="C88" s="19"/>
      <c r="D88" s="3" t="s">
        <v>118</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s="61" customFormat="1" ht="18.5" x14ac:dyDescent="0.45">
      <c r="A89" s="60"/>
      <c r="B89" s="60"/>
      <c r="C89" s="53" t="s">
        <v>119</v>
      </c>
      <c r="D89" s="54" t="s">
        <v>120</v>
      </c>
      <c r="E89" s="55"/>
      <c r="F89" s="62" t="s">
        <v>211</v>
      </c>
      <c r="G89" s="57">
        <v>4</v>
      </c>
      <c r="H89" s="55"/>
      <c r="I89" s="58">
        <f>IF(OR(F89 = "maybe", F89 = "yes"),G89, 0)</f>
        <v>4</v>
      </c>
      <c r="J89" s="58">
        <f>IF(F89 = "yes",G89, 0)</f>
        <v>4</v>
      </c>
      <c r="K89" s="58">
        <f>IF(F89 = "yes",G89, 0)</f>
        <v>4</v>
      </c>
      <c r="L89" s="59"/>
      <c r="M89" s="59"/>
      <c r="N89" s="60"/>
      <c r="O89" s="60"/>
      <c r="P89" s="60"/>
      <c r="Q89" s="60"/>
      <c r="R89" s="60"/>
      <c r="S89" s="60"/>
      <c r="T89" s="60"/>
      <c r="U89" s="60"/>
      <c r="V89" s="60"/>
      <c r="W89" s="60"/>
      <c r="X89" s="60"/>
      <c r="Y89" s="60"/>
      <c r="Z89" s="60"/>
      <c r="AA89" s="60"/>
      <c r="AB89" s="60"/>
      <c r="AC89" s="60"/>
    </row>
    <row r="90" spans="1:29" ht="18.5" x14ac:dyDescent="0.45">
      <c r="A90" s="7"/>
      <c r="B90" s="7"/>
      <c r="C90" s="19"/>
      <c r="D90" s="3" t="s">
        <v>117</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5" x14ac:dyDescent="0.45">
      <c r="A91" s="7"/>
      <c r="B91" s="7"/>
      <c r="C91" s="19"/>
      <c r="D91" s="3" t="s">
        <v>121</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7" x14ac:dyDescent="0.45">
      <c r="A92" s="7"/>
      <c r="B92" s="7"/>
      <c r="C92" s="19"/>
      <c r="D92" s="3" t="s">
        <v>122</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s="61" customFormat="1" ht="18.5" x14ac:dyDescent="0.45">
      <c r="A93" s="60"/>
      <c r="B93" s="60"/>
      <c r="C93" s="53" t="s">
        <v>123</v>
      </c>
      <c r="D93" s="54" t="s">
        <v>124</v>
      </c>
      <c r="E93" s="60"/>
      <c r="F93" s="62" t="s">
        <v>211</v>
      </c>
      <c r="G93" s="57">
        <v>2</v>
      </c>
      <c r="H93" s="55"/>
      <c r="I93" s="58">
        <f>IF(OR(F93 = "maybe", F93 = "yes"),G93, 0)</f>
        <v>2</v>
      </c>
      <c r="J93" s="58">
        <f>IF(F93 = "yes",G93, 0)</f>
        <v>2</v>
      </c>
      <c r="K93" s="58">
        <f>IF(F93 = "yes",G93, 0)</f>
        <v>2</v>
      </c>
      <c r="L93" s="59"/>
      <c r="M93" s="59"/>
      <c r="N93" s="60"/>
      <c r="O93" s="60"/>
      <c r="P93" s="60"/>
      <c r="Q93" s="60"/>
      <c r="R93" s="60"/>
      <c r="S93" s="60"/>
      <c r="T93" s="60"/>
      <c r="U93" s="60"/>
      <c r="V93" s="60"/>
      <c r="W93" s="60"/>
      <c r="X93" s="60"/>
      <c r="Y93" s="60"/>
      <c r="Z93" s="60"/>
      <c r="AA93" s="60"/>
      <c r="AB93" s="60"/>
      <c r="AC93" s="60"/>
    </row>
    <row r="94" spans="1:29" ht="18.5" x14ac:dyDescent="0.45">
      <c r="A94" s="7"/>
      <c r="B94" s="7"/>
      <c r="C94" s="19"/>
      <c r="D94" s="26"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5" x14ac:dyDescent="0.45">
      <c r="A95" s="7"/>
      <c r="B95" s="7"/>
      <c r="C95" s="19"/>
      <c r="D95" s="3" t="s">
        <v>125</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5" x14ac:dyDescent="0.45">
      <c r="A96" s="7"/>
      <c r="B96" s="7"/>
      <c r="C96" s="19"/>
      <c r="D96" s="3" t="s">
        <v>126</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s="61" customFormat="1" ht="18.5" x14ac:dyDescent="0.45">
      <c r="A97" s="60"/>
      <c r="B97" s="60"/>
      <c r="C97" s="53" t="s">
        <v>127</v>
      </c>
      <c r="D97" s="54" t="s">
        <v>128</v>
      </c>
      <c r="E97" s="55"/>
      <c r="F97" s="62" t="s">
        <v>211</v>
      </c>
      <c r="G97" s="57">
        <v>2</v>
      </c>
      <c r="H97" s="63" t="s">
        <v>13</v>
      </c>
      <c r="I97" s="58">
        <f t="shared" ref="I97:I98" si="15">IF(OR(F97 = "maybe", F97 = "yes"),G97, 0)</f>
        <v>2</v>
      </c>
      <c r="J97" s="58">
        <f t="shared" ref="J97:J98" si="16">IF(F97 = "yes",G97, 0)</f>
        <v>2</v>
      </c>
      <c r="K97" s="58">
        <f>IF(F97 = "yes",G97, $M$2)</f>
        <v>2</v>
      </c>
      <c r="L97" s="59"/>
      <c r="M97" s="59"/>
      <c r="N97" s="60"/>
      <c r="O97" s="60"/>
      <c r="P97" s="60"/>
      <c r="Q97" s="60"/>
      <c r="R97" s="60"/>
      <c r="S97" s="60"/>
      <c r="T97" s="60"/>
      <c r="U97" s="60"/>
      <c r="V97" s="60"/>
      <c r="W97" s="60"/>
      <c r="X97" s="60"/>
      <c r="Y97" s="60"/>
      <c r="Z97" s="60"/>
      <c r="AA97" s="60"/>
      <c r="AB97" s="60"/>
      <c r="AC97" s="60"/>
    </row>
    <row r="98" spans="1:29" s="61" customFormat="1" ht="18.5" x14ac:dyDescent="0.45">
      <c r="A98" s="60"/>
      <c r="B98" s="60"/>
      <c r="C98" s="53" t="s">
        <v>129</v>
      </c>
      <c r="D98" s="54" t="s">
        <v>130</v>
      </c>
      <c r="E98" s="55"/>
      <c r="F98" s="62" t="s">
        <v>211</v>
      </c>
      <c r="G98" s="57">
        <v>2</v>
      </c>
      <c r="H98" s="55"/>
      <c r="I98" s="58">
        <f t="shared" si="15"/>
        <v>2</v>
      </c>
      <c r="J98" s="58">
        <f t="shared" si="16"/>
        <v>2</v>
      </c>
      <c r="K98" s="58">
        <f>IF(F98 = "yes",G98, 0)</f>
        <v>2</v>
      </c>
      <c r="L98" s="59"/>
      <c r="M98" s="59"/>
      <c r="N98" s="60"/>
      <c r="O98" s="60"/>
      <c r="P98" s="60"/>
      <c r="Q98" s="60"/>
      <c r="R98" s="60"/>
      <c r="S98" s="60"/>
      <c r="T98" s="60"/>
      <c r="U98" s="60"/>
      <c r="V98" s="60"/>
      <c r="W98" s="60"/>
      <c r="X98" s="60"/>
      <c r="Y98" s="60"/>
      <c r="Z98" s="60"/>
      <c r="AA98" s="60"/>
      <c r="AB98" s="60"/>
      <c r="AC98" s="60"/>
    </row>
    <row r="99" spans="1:29" ht="18.5" x14ac:dyDescent="0.45">
      <c r="A99" s="7"/>
      <c r="B99" s="7"/>
      <c r="C99" s="19"/>
      <c r="D99" s="3" t="s">
        <v>131</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s="61" customFormat="1" ht="37" x14ac:dyDescent="0.45">
      <c r="A100" s="60"/>
      <c r="B100" s="60"/>
      <c r="C100" s="53" t="s">
        <v>132</v>
      </c>
      <c r="D100" s="54" t="s">
        <v>133</v>
      </c>
      <c r="E100" s="55"/>
      <c r="F100" s="62" t="s">
        <v>211</v>
      </c>
      <c r="G100" s="57">
        <v>2</v>
      </c>
      <c r="H100" s="55"/>
      <c r="I100" s="58">
        <f>IF(OR(F100 = "maybe", F100 = "yes"),G100, 0)</f>
        <v>2</v>
      </c>
      <c r="J100" s="58">
        <f>IF(F100 = "yes",G100, 0)</f>
        <v>2</v>
      </c>
      <c r="K100" s="58">
        <f>IF(F100 = "yes",G100, 0)</f>
        <v>2</v>
      </c>
      <c r="L100" s="59"/>
      <c r="M100" s="59"/>
      <c r="N100" s="60"/>
      <c r="O100" s="60"/>
      <c r="P100" s="60"/>
      <c r="Q100" s="60"/>
      <c r="R100" s="60"/>
      <c r="S100" s="60"/>
      <c r="T100" s="60"/>
      <c r="U100" s="60"/>
      <c r="V100" s="60"/>
      <c r="W100" s="60"/>
      <c r="X100" s="60"/>
      <c r="Y100" s="60"/>
      <c r="Z100" s="60"/>
      <c r="AA100" s="60"/>
      <c r="AB100" s="60"/>
      <c r="AC100" s="60"/>
    </row>
    <row r="101" spans="1:29" ht="18.5" x14ac:dyDescent="0.45">
      <c r="A101" s="7"/>
      <c r="B101" s="7"/>
      <c r="C101" s="19"/>
      <c r="D101" s="3" t="s">
        <v>117</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5" x14ac:dyDescent="0.45">
      <c r="A102" s="7"/>
      <c r="B102" s="7"/>
      <c r="C102" s="19"/>
      <c r="D102" s="3" t="s">
        <v>134</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5" x14ac:dyDescent="0.45">
      <c r="A103" s="7"/>
      <c r="B103" s="7"/>
      <c r="C103" s="19"/>
      <c r="D103" s="3" t="s">
        <v>135</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s="61" customFormat="1" ht="18.5" x14ac:dyDescent="0.45">
      <c r="A104" s="60"/>
      <c r="B104" s="60"/>
      <c r="C104" s="53" t="s">
        <v>136</v>
      </c>
      <c r="D104" s="54" t="s">
        <v>137</v>
      </c>
      <c r="E104" s="55"/>
      <c r="F104" s="62" t="s">
        <v>211</v>
      </c>
      <c r="G104" s="57">
        <v>4</v>
      </c>
      <c r="H104" s="55"/>
      <c r="I104" s="58">
        <f>IF(OR(F104 = "maybe", F104 = "yes"),G104, 0)</f>
        <v>4</v>
      </c>
      <c r="J104" s="58">
        <f>IF(F104 = "yes",G104, 0)</f>
        <v>4</v>
      </c>
      <c r="K104" s="58">
        <f>IF(F104 = "yes",G104, 0)</f>
        <v>4</v>
      </c>
      <c r="L104" s="59"/>
      <c r="M104" s="59"/>
      <c r="N104" s="60"/>
      <c r="O104" s="60"/>
      <c r="P104" s="60"/>
      <c r="Q104" s="60"/>
      <c r="R104" s="60"/>
      <c r="S104" s="60"/>
      <c r="T104" s="60"/>
      <c r="U104" s="60"/>
      <c r="V104" s="60"/>
      <c r="W104" s="60"/>
      <c r="X104" s="60"/>
      <c r="Y104" s="60"/>
      <c r="Z104" s="60"/>
      <c r="AA104" s="60"/>
      <c r="AB104" s="60"/>
      <c r="AC104" s="60"/>
    </row>
    <row r="105" spans="1:29" ht="18.5" x14ac:dyDescent="0.45">
      <c r="A105" s="7"/>
      <c r="B105" s="7"/>
      <c r="C105" s="19"/>
      <c r="D105" s="3" t="s">
        <v>117</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18.5" x14ac:dyDescent="0.45">
      <c r="A106" s="7"/>
      <c r="B106" s="7"/>
      <c r="C106" s="19"/>
      <c r="D106" s="3" t="s">
        <v>138</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5" x14ac:dyDescent="0.45">
      <c r="A107" s="7"/>
      <c r="B107" s="7"/>
      <c r="C107" s="19"/>
      <c r="D107" s="3" t="s">
        <v>139</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7" x14ac:dyDescent="0.45">
      <c r="A108" s="7"/>
      <c r="B108" s="7"/>
      <c r="C108" s="19"/>
      <c r="D108" s="3" t="s">
        <v>140</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7" x14ac:dyDescent="0.45">
      <c r="A109" s="7"/>
      <c r="B109" s="7"/>
      <c r="C109" s="19"/>
      <c r="D109" s="3" t="s">
        <v>141</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s="49" customFormat="1" ht="37" x14ac:dyDescent="0.45">
      <c r="A110" s="48"/>
      <c r="B110" s="48"/>
      <c r="C110" s="40" t="s">
        <v>142</v>
      </c>
      <c r="D110" s="41" t="s">
        <v>143</v>
      </c>
      <c r="E110" s="42"/>
      <c r="F110" s="43" t="s">
        <v>211</v>
      </c>
      <c r="G110" s="44">
        <v>2</v>
      </c>
      <c r="H110" s="45" t="s">
        <v>13</v>
      </c>
      <c r="I110" s="46">
        <f>IF(OR(F110 = "maybe", F110 = "yes"),G110, 0)</f>
        <v>2</v>
      </c>
      <c r="J110" s="46">
        <f>IF(F110 = "yes",G110, 0)</f>
        <v>2</v>
      </c>
      <c r="K110" s="46">
        <f>IF(F110 = "yes",G110, $M$2)</f>
        <v>2</v>
      </c>
      <c r="L110" s="47"/>
      <c r="M110" s="47"/>
      <c r="N110" s="48"/>
      <c r="O110" s="48"/>
      <c r="P110" s="48"/>
      <c r="Q110" s="48"/>
      <c r="R110" s="48"/>
      <c r="S110" s="48"/>
      <c r="T110" s="48"/>
      <c r="U110" s="48"/>
      <c r="V110" s="48"/>
      <c r="W110" s="48"/>
      <c r="X110" s="48"/>
      <c r="Y110" s="48"/>
      <c r="Z110" s="48"/>
      <c r="AA110" s="48"/>
      <c r="AB110" s="48"/>
      <c r="AC110" s="48"/>
    </row>
    <row r="111" spans="1:29" ht="18.5" x14ac:dyDescent="0.45">
      <c r="A111" s="7"/>
      <c r="B111" s="7"/>
      <c r="C111" s="19"/>
      <c r="D111" s="3" t="s">
        <v>144</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7" x14ac:dyDescent="0.45">
      <c r="A112" s="7"/>
      <c r="B112" s="7"/>
      <c r="C112" s="19"/>
      <c r="D112" s="3" t="s">
        <v>145</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s="49" customFormat="1" ht="18.5" x14ac:dyDescent="0.45">
      <c r="A113" s="48"/>
      <c r="B113" s="48"/>
      <c r="C113" s="40" t="s">
        <v>146</v>
      </c>
      <c r="D113" s="41" t="s">
        <v>147</v>
      </c>
      <c r="E113" s="42"/>
      <c r="F113" s="43" t="s">
        <v>211</v>
      </c>
      <c r="G113" s="44">
        <v>2</v>
      </c>
      <c r="H113" s="42"/>
      <c r="I113" s="46">
        <f t="shared" ref="I113:I116" si="17">IF(OR(F113 = "maybe", F113 = "yes"),G113, 0)</f>
        <v>2</v>
      </c>
      <c r="J113" s="46">
        <f t="shared" ref="J113:J116" si="18">IF(F113 = "yes",G113, 0)</f>
        <v>2</v>
      </c>
      <c r="K113" s="46">
        <f t="shared" ref="K113:K116" si="19">IF(F113 = "yes",G113, 0)</f>
        <v>2</v>
      </c>
      <c r="L113" s="47"/>
      <c r="M113" s="47"/>
      <c r="N113" s="48"/>
      <c r="O113" s="48"/>
      <c r="P113" s="48"/>
      <c r="Q113" s="48"/>
      <c r="R113" s="48"/>
      <c r="S113" s="48"/>
      <c r="T113" s="48"/>
      <c r="U113" s="48"/>
      <c r="V113" s="48"/>
      <c r="W113" s="48"/>
      <c r="X113" s="48"/>
      <c r="Y113" s="48"/>
      <c r="Z113" s="48"/>
      <c r="AA113" s="48"/>
      <c r="AB113" s="48"/>
      <c r="AC113" s="48"/>
    </row>
    <row r="114" spans="1:29" s="49" customFormat="1" ht="18.5" x14ac:dyDescent="0.45">
      <c r="A114" s="48"/>
      <c r="B114" s="48"/>
      <c r="C114" s="40" t="s">
        <v>148</v>
      </c>
      <c r="D114" s="51" t="s">
        <v>149</v>
      </c>
      <c r="E114" s="42"/>
      <c r="F114" s="43" t="s">
        <v>211</v>
      </c>
      <c r="G114" s="44">
        <v>2</v>
      </c>
      <c r="H114" s="42"/>
      <c r="I114" s="46">
        <f t="shared" si="17"/>
        <v>2</v>
      </c>
      <c r="J114" s="46">
        <f t="shared" si="18"/>
        <v>2</v>
      </c>
      <c r="K114" s="46">
        <f t="shared" si="19"/>
        <v>2</v>
      </c>
      <c r="L114" s="47"/>
      <c r="M114" s="47"/>
      <c r="N114" s="48"/>
      <c r="O114" s="48"/>
      <c r="P114" s="48"/>
      <c r="Q114" s="48"/>
      <c r="R114" s="48"/>
      <c r="S114" s="48"/>
      <c r="T114" s="48"/>
      <c r="U114" s="48"/>
      <c r="V114" s="48"/>
      <c r="W114" s="48"/>
      <c r="X114" s="48"/>
      <c r="Y114" s="48"/>
      <c r="Z114" s="48"/>
      <c r="AA114" s="48"/>
      <c r="AB114" s="48"/>
      <c r="AC114" s="48"/>
    </row>
    <row r="115" spans="1:29" s="61" customFormat="1" ht="37" x14ac:dyDescent="0.45">
      <c r="A115" s="60"/>
      <c r="B115" s="60"/>
      <c r="C115" s="53" t="s">
        <v>150</v>
      </c>
      <c r="D115" s="54" t="s">
        <v>151</v>
      </c>
      <c r="E115" s="55"/>
      <c r="F115" s="56" t="s">
        <v>211</v>
      </c>
      <c r="G115" s="57">
        <v>2</v>
      </c>
      <c r="H115" s="55"/>
      <c r="I115" s="58">
        <f t="shared" si="17"/>
        <v>2</v>
      </c>
      <c r="J115" s="58">
        <f t="shared" si="18"/>
        <v>2</v>
      </c>
      <c r="K115" s="58">
        <f t="shared" si="19"/>
        <v>2</v>
      </c>
      <c r="L115" s="59"/>
      <c r="M115" s="59"/>
      <c r="N115" s="60"/>
      <c r="O115" s="60"/>
      <c r="P115" s="60"/>
      <c r="Q115" s="60"/>
      <c r="R115" s="60"/>
      <c r="S115" s="60"/>
      <c r="T115" s="60"/>
      <c r="U115" s="60"/>
      <c r="V115" s="60"/>
      <c r="W115" s="60"/>
      <c r="X115" s="60"/>
      <c r="Y115" s="60"/>
      <c r="Z115" s="60"/>
      <c r="AA115" s="60"/>
      <c r="AB115" s="60"/>
      <c r="AC115" s="60"/>
    </row>
    <row r="116" spans="1:29" s="61" customFormat="1" ht="37" x14ac:dyDescent="0.45">
      <c r="A116" s="60"/>
      <c r="B116" s="60"/>
      <c r="C116" s="53" t="s">
        <v>152</v>
      </c>
      <c r="D116" s="54" t="s">
        <v>153</v>
      </c>
      <c r="E116" s="55"/>
      <c r="F116" s="56" t="s">
        <v>211</v>
      </c>
      <c r="G116" s="57">
        <v>2</v>
      </c>
      <c r="H116" s="55"/>
      <c r="I116" s="58">
        <f t="shared" si="17"/>
        <v>2</v>
      </c>
      <c r="J116" s="58">
        <f t="shared" si="18"/>
        <v>2</v>
      </c>
      <c r="K116" s="58">
        <f t="shared" si="19"/>
        <v>2</v>
      </c>
      <c r="L116" s="59"/>
      <c r="M116" s="59"/>
      <c r="N116" s="60"/>
      <c r="O116" s="60"/>
      <c r="P116" s="60"/>
      <c r="Q116" s="60"/>
      <c r="R116" s="60"/>
      <c r="S116" s="60"/>
      <c r="T116" s="60"/>
      <c r="U116" s="60"/>
      <c r="V116" s="60"/>
      <c r="W116" s="60"/>
      <c r="X116" s="60"/>
      <c r="Y116" s="60"/>
      <c r="Z116" s="60"/>
      <c r="AA116" s="60"/>
      <c r="AB116" s="60"/>
      <c r="AC116" s="60"/>
    </row>
    <row r="117" spans="1:29" ht="18.5" x14ac:dyDescent="0.45">
      <c r="A117" s="7"/>
      <c r="B117" s="7"/>
      <c r="C117" s="19"/>
      <c r="D117" s="27"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5"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5" x14ac:dyDescent="0.45">
      <c r="A118" s="8" t="s">
        <v>154</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5" x14ac:dyDescent="0.45">
      <c r="A119" s="7"/>
      <c r="B119" s="15" t="s">
        <v>27</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s="49" customFormat="1" ht="37" x14ac:dyDescent="0.45">
      <c r="A120" s="48"/>
      <c r="B120" s="48"/>
      <c r="C120" s="40" t="s">
        <v>155</v>
      </c>
      <c r="D120" s="41" t="s">
        <v>156</v>
      </c>
      <c r="E120" s="42"/>
      <c r="F120" s="43" t="s">
        <v>211</v>
      </c>
      <c r="G120" s="44">
        <v>4</v>
      </c>
      <c r="H120" s="45" t="s">
        <v>13</v>
      </c>
      <c r="I120" s="46">
        <f>IF(OR(F120 = "maybe", F120 = "yes"),G120, 0)</f>
        <v>4</v>
      </c>
      <c r="J120" s="46">
        <f>IF(F120 = "yes",G120, 0)</f>
        <v>4</v>
      </c>
      <c r="K120" s="46">
        <f>IF(F120 = "yes",G120, $M$2)</f>
        <v>4</v>
      </c>
      <c r="L120" s="47"/>
      <c r="M120" s="47"/>
      <c r="N120" s="48"/>
      <c r="O120" s="48"/>
      <c r="P120" s="48"/>
      <c r="Q120" s="48"/>
      <c r="R120" s="48"/>
      <c r="S120" s="48"/>
      <c r="T120" s="48"/>
      <c r="U120" s="48"/>
      <c r="V120" s="48"/>
      <c r="W120" s="48"/>
      <c r="X120" s="48"/>
      <c r="Y120" s="48"/>
      <c r="Z120" s="48"/>
      <c r="AA120" s="48"/>
      <c r="AB120" s="48"/>
      <c r="AC120" s="48"/>
    </row>
    <row r="121" spans="1:29" ht="18.5" x14ac:dyDescent="0.45">
      <c r="A121" s="7"/>
      <c r="B121" s="7"/>
      <c r="C121" s="19"/>
      <c r="D121" s="3" t="s">
        <v>157</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5" x14ac:dyDescent="0.45">
      <c r="A122" s="7"/>
      <c r="B122" s="7"/>
      <c r="C122" s="19"/>
      <c r="D122" s="3" t="s">
        <v>158</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5" x14ac:dyDescent="0.45">
      <c r="A123" s="7"/>
      <c r="B123" s="7"/>
      <c r="C123" s="19"/>
      <c r="D123" s="3" t="s">
        <v>159</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5" x14ac:dyDescent="0.45">
      <c r="A124" s="7"/>
      <c r="B124" s="7"/>
      <c r="C124" s="19"/>
      <c r="D124" s="3" t="s">
        <v>160</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45">
      <c r="A125" s="7"/>
      <c r="B125" s="7"/>
      <c r="C125" s="19"/>
      <c r="D125" s="3" t="s">
        <v>161</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s="61" customFormat="1" ht="18.5" x14ac:dyDescent="0.45">
      <c r="A126" s="60"/>
      <c r="B126" s="60"/>
      <c r="C126" s="53" t="s">
        <v>162</v>
      </c>
      <c r="D126" s="54" t="s">
        <v>163</v>
      </c>
      <c r="E126" s="55"/>
      <c r="F126" s="62" t="s">
        <v>211</v>
      </c>
      <c r="G126" s="57">
        <v>4</v>
      </c>
      <c r="H126" s="55"/>
      <c r="I126" s="58">
        <f t="shared" ref="I126:I128" si="20">IF(OR(F126 = "maybe", F126 = "yes"),G126, 0)</f>
        <v>4</v>
      </c>
      <c r="J126" s="58">
        <f t="shared" ref="J126:J128" si="21">IF(F126 = "yes",G126, 0)</f>
        <v>4</v>
      </c>
      <c r="K126" s="58">
        <f t="shared" ref="K126:K128" si="22">IF(F126 = "yes",G126, 0)</f>
        <v>4</v>
      </c>
      <c r="L126" s="59"/>
      <c r="M126" s="59"/>
      <c r="N126" s="60"/>
      <c r="O126" s="60"/>
      <c r="P126" s="60"/>
      <c r="Q126" s="60"/>
      <c r="R126" s="60"/>
      <c r="S126" s="60"/>
      <c r="T126" s="60"/>
      <c r="U126" s="60"/>
      <c r="V126" s="60"/>
      <c r="W126" s="60"/>
      <c r="X126" s="60"/>
      <c r="Y126" s="60"/>
      <c r="Z126" s="60"/>
      <c r="AA126" s="60"/>
      <c r="AB126" s="60"/>
      <c r="AC126" s="60"/>
    </row>
    <row r="127" spans="1:29" s="61" customFormat="1" ht="21.75" customHeight="1" x14ac:dyDescent="0.45">
      <c r="A127" s="60"/>
      <c r="B127" s="60"/>
      <c r="C127" s="53" t="s">
        <v>164</v>
      </c>
      <c r="D127" s="54" t="s">
        <v>212</v>
      </c>
      <c r="E127" s="55"/>
      <c r="F127" s="56" t="s">
        <v>211</v>
      </c>
      <c r="G127" s="57">
        <v>4</v>
      </c>
      <c r="H127" s="55"/>
      <c r="I127" s="58">
        <f t="shared" si="20"/>
        <v>4</v>
      </c>
      <c r="J127" s="58">
        <f t="shared" si="21"/>
        <v>4</v>
      </c>
      <c r="K127" s="58">
        <f t="shared" si="22"/>
        <v>4</v>
      </c>
      <c r="L127" s="59"/>
      <c r="M127" s="59"/>
      <c r="N127" s="60"/>
      <c r="O127" s="60"/>
      <c r="P127" s="60"/>
      <c r="Q127" s="60"/>
      <c r="R127" s="60"/>
      <c r="S127" s="60"/>
      <c r="T127" s="60"/>
      <c r="U127" s="60"/>
      <c r="V127" s="60"/>
      <c r="W127" s="60"/>
      <c r="X127" s="60"/>
      <c r="Y127" s="60"/>
      <c r="Z127" s="60"/>
      <c r="AA127" s="60"/>
      <c r="AB127" s="60"/>
      <c r="AC127" s="60"/>
    </row>
    <row r="128" spans="1:29" s="49" customFormat="1" ht="18.5" x14ac:dyDescent="0.45">
      <c r="A128" s="48"/>
      <c r="B128" s="48"/>
      <c r="C128" s="40" t="s">
        <v>165</v>
      </c>
      <c r="D128" s="41" t="s">
        <v>166</v>
      </c>
      <c r="E128" s="42"/>
      <c r="F128" s="43" t="s">
        <v>211</v>
      </c>
      <c r="G128" s="44">
        <v>4</v>
      </c>
      <c r="H128" s="42"/>
      <c r="I128" s="46">
        <f t="shared" si="20"/>
        <v>4</v>
      </c>
      <c r="J128" s="46">
        <f t="shared" si="21"/>
        <v>4</v>
      </c>
      <c r="K128" s="46">
        <f t="shared" si="22"/>
        <v>4</v>
      </c>
      <c r="L128" s="47"/>
      <c r="M128" s="47"/>
      <c r="N128" s="48"/>
      <c r="O128" s="48"/>
      <c r="P128" s="48"/>
      <c r="Q128" s="48"/>
      <c r="R128" s="48"/>
      <c r="S128" s="48"/>
      <c r="T128" s="48"/>
      <c r="U128" s="48"/>
      <c r="V128" s="48"/>
      <c r="W128" s="48"/>
      <c r="X128" s="48"/>
      <c r="Y128" s="48"/>
      <c r="Z128" s="48"/>
      <c r="AA128" s="48"/>
      <c r="AB128" s="48"/>
      <c r="AC128" s="48"/>
    </row>
    <row r="129" spans="1:29" ht="18.5" x14ac:dyDescent="0.45">
      <c r="A129" s="7"/>
      <c r="B129" s="7"/>
      <c r="C129" s="19"/>
      <c r="D129" s="3" t="s">
        <v>117</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5" x14ac:dyDescent="0.45">
      <c r="A130" s="7"/>
      <c r="B130" s="7"/>
      <c r="C130" s="19"/>
      <c r="D130" s="27"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s="49" customFormat="1" ht="18.5" x14ac:dyDescent="0.45">
      <c r="A131" s="48"/>
      <c r="B131" s="48"/>
      <c r="C131" s="40" t="s">
        <v>167</v>
      </c>
      <c r="D131" s="41" t="s">
        <v>168</v>
      </c>
      <c r="E131" s="42"/>
      <c r="F131" s="43" t="s">
        <v>211</v>
      </c>
      <c r="G131" s="44">
        <v>4</v>
      </c>
      <c r="H131" s="42"/>
      <c r="I131" s="46"/>
      <c r="J131" s="46"/>
      <c r="K131" s="46"/>
      <c r="L131" s="47"/>
      <c r="M131" s="47"/>
      <c r="N131" s="48"/>
      <c r="O131" s="48"/>
      <c r="P131" s="48"/>
      <c r="Q131" s="48"/>
      <c r="R131" s="48"/>
      <c r="S131" s="48"/>
      <c r="T131" s="48"/>
      <c r="U131" s="48"/>
      <c r="V131" s="48"/>
      <c r="W131" s="48"/>
      <c r="X131" s="48"/>
      <c r="Y131" s="48"/>
      <c r="Z131" s="48"/>
      <c r="AA131" s="48"/>
      <c r="AB131" s="48"/>
      <c r="AC131" s="48"/>
    </row>
    <row r="132" spans="1:29" ht="21.75" customHeight="1" x14ac:dyDescent="0.45">
      <c r="A132" s="7"/>
      <c r="B132" s="7"/>
      <c r="C132" s="19"/>
      <c r="D132" s="3" t="s">
        <v>169</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5" x14ac:dyDescent="0.45">
      <c r="A133" s="7"/>
      <c r="B133" s="7"/>
      <c r="C133" s="19"/>
      <c r="D133" s="3" t="s">
        <v>170</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5" x14ac:dyDescent="0.45">
      <c r="A134" s="7"/>
      <c r="B134" s="7"/>
      <c r="C134" s="19"/>
      <c r="D134" s="3" t="s">
        <v>171</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5" x14ac:dyDescent="0.45">
      <c r="A135" s="7"/>
      <c r="B135" s="7"/>
      <c r="C135" s="19"/>
      <c r="D135" s="3" t="s">
        <v>172</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7" x14ac:dyDescent="0.45">
      <c r="A136" s="7"/>
      <c r="B136" s="7"/>
      <c r="C136" s="19"/>
      <c r="D136" s="3" t="s">
        <v>173</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s="61" customFormat="1" ht="18.5" x14ac:dyDescent="0.45">
      <c r="A137" s="60"/>
      <c r="B137" s="60"/>
      <c r="C137" s="53" t="s">
        <v>174</v>
      </c>
      <c r="D137" s="54" t="s">
        <v>175</v>
      </c>
      <c r="E137" s="55"/>
      <c r="F137" s="56" t="s">
        <v>211</v>
      </c>
      <c r="G137" s="57">
        <v>6</v>
      </c>
      <c r="H137" s="55"/>
      <c r="I137" s="58">
        <f>IF(OR(F137 = "maybe", F137 = "yes"),G137, 0)</f>
        <v>6</v>
      </c>
      <c r="J137" s="58">
        <f>IF(F137 = "yes",G137, 0)</f>
        <v>6</v>
      </c>
      <c r="K137" s="58">
        <f>IF(F137 = "yes",G137, 0)</f>
        <v>6</v>
      </c>
      <c r="L137" s="59"/>
      <c r="M137" s="59"/>
      <c r="N137" s="60"/>
      <c r="O137" s="60"/>
      <c r="P137" s="60"/>
      <c r="Q137" s="60"/>
      <c r="R137" s="60"/>
      <c r="S137" s="60"/>
      <c r="T137" s="60"/>
      <c r="U137" s="60"/>
      <c r="V137" s="60"/>
      <c r="W137" s="60"/>
      <c r="X137" s="60"/>
      <c r="Y137" s="60"/>
      <c r="Z137" s="60"/>
      <c r="AA137" s="60"/>
      <c r="AB137" s="60"/>
      <c r="AC137" s="60"/>
    </row>
    <row r="138" spans="1:29" ht="18.5" x14ac:dyDescent="0.45">
      <c r="A138" s="7"/>
      <c r="B138" s="7"/>
      <c r="C138" s="19"/>
      <c r="D138" s="3" t="s">
        <v>176</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5" x14ac:dyDescent="0.45">
      <c r="A139" s="7"/>
      <c r="B139" s="7"/>
      <c r="C139" s="19"/>
      <c r="D139" s="3" t="s">
        <v>177</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7" x14ac:dyDescent="0.45">
      <c r="A140" s="7"/>
      <c r="B140" s="7"/>
      <c r="C140" s="19"/>
      <c r="D140" s="3" t="s">
        <v>178</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s="61" customFormat="1" ht="18.5" x14ac:dyDescent="0.45">
      <c r="A141" s="60"/>
      <c r="B141" s="60"/>
      <c r="C141" s="53" t="s">
        <v>179</v>
      </c>
      <c r="D141" s="54" t="s">
        <v>180</v>
      </c>
      <c r="E141" s="60"/>
      <c r="F141" s="56" t="s">
        <v>211</v>
      </c>
      <c r="G141" s="57">
        <v>4</v>
      </c>
      <c r="H141" s="55"/>
      <c r="I141" s="58">
        <f>IF(OR(F141 = "maybe", F141 = "yes"),G141, 0)</f>
        <v>4</v>
      </c>
      <c r="J141" s="58">
        <f>IF(F141 = "yes",G141, 0)</f>
        <v>4</v>
      </c>
      <c r="K141" s="58">
        <f>IF(F141 = "yes",G141, 0)</f>
        <v>4</v>
      </c>
      <c r="L141" s="59"/>
      <c r="M141" s="59"/>
      <c r="N141" s="60"/>
      <c r="O141" s="60"/>
      <c r="P141" s="60"/>
      <c r="Q141" s="60"/>
      <c r="R141" s="60"/>
      <c r="S141" s="60"/>
      <c r="T141" s="60"/>
      <c r="U141" s="60"/>
      <c r="V141" s="60"/>
      <c r="W141" s="60"/>
      <c r="X141" s="60"/>
      <c r="Y141" s="60"/>
      <c r="Z141" s="60"/>
      <c r="AA141" s="60"/>
      <c r="AB141" s="60"/>
      <c r="AC141" s="60"/>
    </row>
    <row r="142" spans="1:29" ht="18.5" x14ac:dyDescent="0.45">
      <c r="A142" s="7"/>
      <c r="B142" s="7"/>
      <c r="C142" s="19"/>
      <c r="D142" s="3" t="s">
        <v>176</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5" x14ac:dyDescent="0.45">
      <c r="A143" s="7"/>
      <c r="B143" s="7"/>
      <c r="C143" s="19"/>
      <c r="D143" s="3" t="s">
        <v>181</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7" x14ac:dyDescent="0.45">
      <c r="A144" s="7"/>
      <c r="B144" s="7"/>
      <c r="C144" s="19"/>
      <c r="D144" s="3" t="s">
        <v>178</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s="61" customFormat="1" ht="37" x14ac:dyDescent="0.45">
      <c r="A145" s="60"/>
      <c r="B145" s="60"/>
      <c r="C145" s="53" t="s">
        <v>182</v>
      </c>
      <c r="D145" s="54" t="s">
        <v>183</v>
      </c>
      <c r="E145" s="55"/>
      <c r="F145" s="56" t="s">
        <v>211</v>
      </c>
      <c r="G145" s="57">
        <v>4</v>
      </c>
      <c r="H145" s="55"/>
      <c r="I145" s="58">
        <f>IF(OR(F145 = "maybe", F145 = "yes"),G145, 0)</f>
        <v>4</v>
      </c>
      <c r="J145" s="58">
        <f>IF(F145 = "yes",G145, 0)</f>
        <v>4</v>
      </c>
      <c r="K145" s="58">
        <f>IF(F145 = "yes",G145, 0)</f>
        <v>4</v>
      </c>
      <c r="L145" s="59"/>
      <c r="M145" s="59"/>
      <c r="N145" s="60"/>
      <c r="O145" s="60"/>
      <c r="P145" s="60"/>
      <c r="Q145" s="60"/>
      <c r="R145" s="60"/>
      <c r="S145" s="60"/>
      <c r="T145" s="60"/>
      <c r="U145" s="60"/>
      <c r="V145" s="60"/>
      <c r="W145" s="60"/>
      <c r="X145" s="60"/>
      <c r="Y145" s="60"/>
      <c r="Z145" s="60"/>
      <c r="AA145" s="60"/>
      <c r="AB145" s="60"/>
      <c r="AC145" s="60"/>
    </row>
    <row r="146" spans="1:29" ht="18.5" x14ac:dyDescent="0.45">
      <c r="A146" s="7"/>
      <c r="B146" s="7"/>
      <c r="C146" s="19"/>
      <c r="D146" s="3" t="s">
        <v>176</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5" x14ac:dyDescent="0.45">
      <c r="A147" s="7"/>
      <c r="B147" s="7"/>
      <c r="C147" s="19"/>
      <c r="D147" s="3" t="s">
        <v>181</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7" x14ac:dyDescent="0.45">
      <c r="A148" s="7"/>
      <c r="B148" s="7"/>
      <c r="C148" s="19"/>
      <c r="D148" s="3" t="s">
        <v>178</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5" x14ac:dyDescent="0.45">
      <c r="A149" s="7"/>
      <c r="B149" s="7"/>
      <c r="C149" s="19"/>
      <c r="D149" s="3" t="s">
        <v>184</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7" x14ac:dyDescent="0.45">
      <c r="A150" s="7"/>
      <c r="B150" s="7"/>
      <c r="C150" s="19"/>
      <c r="D150" s="3" t="s">
        <v>185</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5" x14ac:dyDescent="0.45">
      <c r="A151" s="8" t="s">
        <v>186</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5" x14ac:dyDescent="0.45">
      <c r="A152" s="8"/>
      <c r="B152" s="15" t="s">
        <v>187</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5" x14ac:dyDescent="0.45">
      <c r="A153" s="8"/>
      <c r="B153" s="7"/>
      <c r="C153" s="19" t="s">
        <v>188</v>
      </c>
      <c r="D153" s="20" t="s">
        <v>189</v>
      </c>
      <c r="E153" s="10"/>
      <c r="F153" s="21" t="s">
        <v>12</v>
      </c>
      <c r="G153" s="28"/>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5" x14ac:dyDescent="0.45">
      <c r="A154" s="8"/>
      <c r="B154" s="7"/>
      <c r="C154" s="19"/>
      <c r="D154" s="3" t="s">
        <v>190</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5" x14ac:dyDescent="0.45">
      <c r="A155" s="8"/>
      <c r="B155" s="7"/>
      <c r="C155" s="19"/>
      <c r="D155" s="3" t="s">
        <v>191</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5" x14ac:dyDescent="0.45">
      <c r="A156" s="8"/>
      <c r="B156" s="7"/>
      <c r="C156" s="19"/>
      <c r="D156" s="3" t="s">
        <v>192</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s="71" customFormat="1" ht="18.5" x14ac:dyDescent="0.45">
      <c r="A157" s="64"/>
      <c r="B157" s="65"/>
      <c r="C157" s="66"/>
      <c r="D157" s="67" t="s">
        <v>193</v>
      </c>
      <c r="E157" s="56" t="s">
        <v>211</v>
      </c>
      <c r="F157" s="68"/>
      <c r="G157" s="69"/>
      <c r="H157" s="70"/>
      <c r="I157" s="68"/>
      <c r="J157" s="68"/>
      <c r="K157" s="68"/>
      <c r="L157" s="70"/>
      <c r="M157" s="70"/>
      <c r="N157" s="65"/>
      <c r="O157" s="65"/>
      <c r="P157" s="65"/>
      <c r="Q157" s="65"/>
      <c r="R157" s="65"/>
      <c r="S157" s="65"/>
      <c r="T157" s="65"/>
      <c r="U157" s="65"/>
      <c r="V157" s="65"/>
      <c r="W157" s="65"/>
      <c r="X157" s="65"/>
      <c r="Y157" s="65"/>
      <c r="Z157" s="65"/>
      <c r="AA157" s="65"/>
      <c r="AB157" s="65"/>
      <c r="AC157" s="65"/>
    </row>
    <row r="158" spans="1:29" ht="18.5" x14ac:dyDescent="0.45">
      <c r="A158" s="8"/>
      <c r="B158" s="7"/>
      <c r="C158" s="19"/>
      <c r="D158" s="3" t="s">
        <v>194</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5" x14ac:dyDescent="0.45">
      <c r="A159" s="8"/>
      <c r="B159" s="7"/>
      <c r="C159" s="19"/>
      <c r="D159" s="3" t="s">
        <v>195</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5" x14ac:dyDescent="0.45">
      <c r="A160" s="8" t="s">
        <v>196</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5" x14ac:dyDescent="0.45">
      <c r="A161" s="7"/>
      <c r="B161" s="15" t="s">
        <v>197</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5" x14ac:dyDescent="0.45">
      <c r="A162" s="7"/>
      <c r="B162" s="7"/>
      <c r="C162" s="19" t="s">
        <v>198</v>
      </c>
      <c r="D162" s="20" t="s">
        <v>199</v>
      </c>
      <c r="E162" s="29"/>
      <c r="F162" s="21" t="s">
        <v>12</v>
      </c>
      <c r="G162" s="28"/>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5" x14ac:dyDescent="0.45">
      <c r="A163" s="7"/>
      <c r="B163" s="7"/>
      <c r="C163" s="4">
        <v>7.2</v>
      </c>
      <c r="D163" s="20" t="s">
        <v>200</v>
      </c>
      <c r="E163" s="10"/>
      <c r="F163" s="17"/>
      <c r="G163" s="17"/>
      <c r="H163" s="10"/>
      <c r="I163" s="30"/>
      <c r="J163" s="30"/>
      <c r="K163" s="31"/>
      <c r="L163" s="32"/>
      <c r="M163" s="33"/>
      <c r="N163" s="7"/>
      <c r="O163" s="7"/>
      <c r="P163" s="7"/>
      <c r="Q163" s="7"/>
      <c r="R163" s="7"/>
      <c r="S163" s="7"/>
      <c r="T163" s="7"/>
      <c r="U163" s="7"/>
      <c r="V163" s="7"/>
      <c r="W163" s="7"/>
      <c r="X163" s="7"/>
      <c r="Y163" s="7"/>
      <c r="Z163" s="7"/>
      <c r="AA163" s="7"/>
      <c r="AB163" s="7"/>
      <c r="AC163" s="7"/>
    </row>
    <row r="164" spans="1:29" ht="20.25" customHeight="1" x14ac:dyDescent="0.45">
      <c r="A164" s="7"/>
      <c r="B164" s="7"/>
      <c r="C164" s="21"/>
      <c r="D164" s="3" t="s">
        <v>201</v>
      </c>
      <c r="E164" s="7" t="s">
        <v>12</v>
      </c>
      <c r="F164" s="17"/>
      <c r="G164" s="17"/>
      <c r="H164" s="10"/>
      <c r="I164" s="12"/>
      <c r="J164" s="12"/>
      <c r="K164" s="12"/>
      <c r="L164" s="12" t="s">
        <v>202</v>
      </c>
      <c r="M164" s="18"/>
      <c r="N164" s="7"/>
      <c r="O164" s="7"/>
      <c r="P164" s="7"/>
      <c r="Q164" s="7"/>
      <c r="R164" s="7"/>
      <c r="S164" s="7"/>
      <c r="T164" s="7"/>
      <c r="U164" s="7"/>
      <c r="V164" s="7"/>
      <c r="W164" s="7"/>
      <c r="X164" s="7"/>
      <c r="Y164" s="7"/>
      <c r="Z164" s="7"/>
      <c r="AA164" s="7"/>
      <c r="AB164" s="7"/>
      <c r="AC164" s="7"/>
    </row>
    <row r="165" spans="1:29" ht="20.25" customHeight="1" x14ac:dyDescent="0.45">
      <c r="A165" s="7"/>
      <c r="B165" s="7"/>
      <c r="C165" s="21"/>
      <c r="D165" s="3" t="s">
        <v>203</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45">
      <c r="A166" s="7"/>
      <c r="B166" s="7"/>
      <c r="C166" s="21"/>
      <c r="D166" s="3" t="s">
        <v>204</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45">
      <c r="A167" s="7"/>
      <c r="B167" s="7"/>
      <c r="C167" s="21"/>
      <c r="D167" s="3" t="s">
        <v>205</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45">
      <c r="A168" s="7"/>
      <c r="B168" s="7"/>
      <c r="C168" s="21"/>
      <c r="D168" s="3" t="s">
        <v>206</v>
      </c>
      <c r="E168" s="7" t="s">
        <v>12</v>
      </c>
      <c r="F168" s="10"/>
      <c r="G168" s="17"/>
      <c r="H168" s="10"/>
      <c r="I168" s="12"/>
      <c r="J168" s="12"/>
      <c r="K168" s="12"/>
      <c r="L168" s="12">
        <f t="shared" si="23"/>
        <v>0</v>
      </c>
      <c r="M168" s="18"/>
      <c r="N168" s="7"/>
      <c r="O168" s="34"/>
      <c r="P168" s="7"/>
      <c r="Q168" s="7"/>
      <c r="R168" s="7"/>
      <c r="S168" s="7"/>
      <c r="T168" s="7"/>
      <c r="U168" s="7"/>
      <c r="V168" s="7"/>
      <c r="W168" s="7"/>
      <c r="X168" s="7"/>
      <c r="Y168" s="7"/>
      <c r="Z168" s="7"/>
      <c r="AA168" s="7"/>
      <c r="AB168" s="7"/>
      <c r="AC168" s="7"/>
    </row>
    <row r="169" spans="1:29" ht="18.5" x14ac:dyDescent="0.45">
      <c r="A169" s="7"/>
      <c r="B169" s="7"/>
      <c r="C169" s="21"/>
      <c r="D169" s="35"/>
      <c r="E169" s="10"/>
      <c r="F169" s="10"/>
      <c r="G169" s="17"/>
      <c r="H169" s="10"/>
      <c r="I169" s="12" t="s">
        <v>207</v>
      </c>
      <c r="J169" s="12" t="s">
        <v>208</v>
      </c>
      <c r="K169" s="12" t="s">
        <v>209</v>
      </c>
      <c r="L169" s="12" t="s">
        <v>210</v>
      </c>
      <c r="M169" s="18"/>
      <c r="N169" s="7"/>
      <c r="O169" s="7"/>
      <c r="P169" s="7"/>
      <c r="Q169" s="7"/>
      <c r="R169" s="7"/>
      <c r="S169" s="7"/>
      <c r="T169" s="7"/>
      <c r="U169" s="7"/>
      <c r="V169" s="7"/>
      <c r="W169" s="7"/>
      <c r="X169" s="7"/>
      <c r="Y169" s="7"/>
      <c r="Z169" s="7"/>
      <c r="AA169" s="7"/>
      <c r="AB169" s="7"/>
      <c r="AC169" s="7"/>
    </row>
    <row r="170" spans="1:29" ht="18.5" x14ac:dyDescent="0.45">
      <c r="A170" s="7"/>
      <c r="B170" s="7"/>
      <c r="C170" s="21"/>
      <c r="D170" s="36"/>
      <c r="E170" s="10"/>
      <c r="F170" s="10"/>
      <c r="G170" s="17"/>
      <c r="H170" s="10"/>
      <c r="I170" s="37">
        <f t="shared" ref="I170:K170" si="24">SUM(I4:I162)</f>
        <v>130</v>
      </c>
      <c r="J170" s="12">
        <f t="shared" si="24"/>
        <v>130</v>
      </c>
      <c r="K170" s="12">
        <f t="shared" si="24"/>
        <v>130</v>
      </c>
      <c r="L170" s="12">
        <f>CHOOSE(SUM(L165:L168)+1, MIN(60, K170) + (K170 - MIN(60, K170))/2,MIN(70, KJ170) + (K170 - MIN(70, K170))/2,MIN(80, K170) + (K170 - MIN(80, K170))/2,MIN(90, K170) + (K170 - MIN(90, K170))/2, K170)</f>
        <v>95</v>
      </c>
      <c r="M170" s="18"/>
      <c r="N170" s="7"/>
      <c r="O170" s="7"/>
      <c r="P170" s="7"/>
      <c r="Q170" s="7"/>
      <c r="R170" s="7"/>
      <c r="S170" s="7"/>
      <c r="T170" s="7"/>
      <c r="U170" s="7"/>
      <c r="V170" s="7"/>
      <c r="W170" s="7"/>
      <c r="X170" s="7"/>
      <c r="Y170" s="7"/>
      <c r="Z170" s="7"/>
      <c r="AA170" s="7"/>
      <c r="AB170" s="7"/>
      <c r="AC170" s="7"/>
    </row>
    <row r="171" spans="1:29" ht="18.5" x14ac:dyDescent="0.45">
      <c r="A171" s="7"/>
      <c r="B171" s="7"/>
      <c r="C171" s="21"/>
      <c r="D171" s="36"/>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5" x14ac:dyDescent="0.45">
      <c r="A172" s="7"/>
      <c r="B172" s="7"/>
      <c r="C172" s="21"/>
      <c r="D172" s="36"/>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5" x14ac:dyDescent="0.45">
      <c r="A173" s="7"/>
      <c r="B173" s="7"/>
      <c r="C173" s="21"/>
      <c r="D173" s="36"/>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5" x14ac:dyDescent="0.45">
      <c r="A174" s="7"/>
      <c r="B174" s="7"/>
      <c r="C174" s="21"/>
      <c r="D174" s="36"/>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5" x14ac:dyDescent="0.45">
      <c r="A175" s="7"/>
      <c r="B175" s="7"/>
      <c r="C175" s="21"/>
      <c r="D175" s="36"/>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5" x14ac:dyDescent="0.45">
      <c r="A176" s="7"/>
      <c r="B176" s="7"/>
      <c r="C176" s="21"/>
      <c r="D176" s="36"/>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5" x14ac:dyDescent="0.45">
      <c r="A177" s="7"/>
      <c r="B177" s="7"/>
      <c r="C177" s="21"/>
      <c r="D177" s="36"/>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5" x14ac:dyDescent="0.45">
      <c r="A178" s="7"/>
      <c r="B178" s="7"/>
      <c r="C178" s="21"/>
      <c r="D178" s="36"/>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5" x14ac:dyDescent="0.45">
      <c r="A179" s="7"/>
      <c r="B179" s="7"/>
      <c r="C179" s="21"/>
      <c r="D179" s="36"/>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5" x14ac:dyDescent="0.45">
      <c r="A180" s="7"/>
      <c r="B180" s="7"/>
      <c r="C180" s="21"/>
      <c r="D180" s="36"/>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5" x14ac:dyDescent="0.45">
      <c r="A181" s="7"/>
      <c r="B181" s="7"/>
      <c r="C181" s="21"/>
      <c r="D181" s="36"/>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5" x14ac:dyDescent="0.45">
      <c r="A182" s="7"/>
      <c r="B182" s="7"/>
      <c r="C182" s="21"/>
      <c r="D182" s="36"/>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5" x14ac:dyDescent="0.45">
      <c r="A183" s="7"/>
      <c r="B183" s="7"/>
      <c r="C183" s="21"/>
      <c r="D183" s="36"/>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5" x14ac:dyDescent="0.45">
      <c r="A184" s="7"/>
      <c r="B184" s="7"/>
      <c r="C184" s="21"/>
      <c r="D184" s="36"/>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5" x14ac:dyDescent="0.45">
      <c r="A185" s="7"/>
      <c r="B185" s="7"/>
      <c r="C185" s="21"/>
      <c r="D185" s="36"/>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5" x14ac:dyDescent="0.45">
      <c r="A186" s="7"/>
      <c r="B186" s="7"/>
      <c r="C186" s="21"/>
      <c r="D186" s="36"/>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5" x14ac:dyDescent="0.45">
      <c r="A187" s="7"/>
      <c r="B187" s="7"/>
      <c r="C187" s="21"/>
      <c r="D187" s="36"/>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5" x14ac:dyDescent="0.45">
      <c r="A188" s="7"/>
      <c r="B188" s="7"/>
      <c r="C188" s="21"/>
      <c r="D188" s="36"/>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5" x14ac:dyDescent="0.45">
      <c r="A189" s="7"/>
      <c r="B189" s="7"/>
      <c r="C189" s="21"/>
      <c r="D189" s="36"/>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5" x14ac:dyDescent="0.45">
      <c r="A190" s="7"/>
      <c r="B190" s="7"/>
      <c r="C190" s="21"/>
      <c r="D190" s="36"/>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5" x14ac:dyDescent="0.45">
      <c r="A191" s="7"/>
      <c r="B191" s="7"/>
      <c r="C191" s="21"/>
      <c r="D191" s="36"/>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5" x14ac:dyDescent="0.45">
      <c r="A192" s="7"/>
      <c r="B192" s="7"/>
      <c r="C192" s="21"/>
      <c r="D192" s="36"/>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5" x14ac:dyDescent="0.45">
      <c r="A193" s="7"/>
      <c r="B193" s="7"/>
      <c r="C193" s="21"/>
      <c r="D193" s="36"/>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5" x14ac:dyDescent="0.45">
      <c r="A194" s="7"/>
      <c r="B194" s="7"/>
      <c r="C194" s="21"/>
      <c r="D194" s="36"/>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5" x14ac:dyDescent="0.45">
      <c r="A195" s="7"/>
      <c r="B195" s="7"/>
      <c r="C195" s="21"/>
      <c r="D195" s="36"/>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5" x14ac:dyDescent="0.45">
      <c r="A196" s="7"/>
      <c r="B196" s="7"/>
      <c r="C196" s="21"/>
      <c r="D196" s="36"/>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5" x14ac:dyDescent="0.45">
      <c r="A197" s="7"/>
      <c r="B197" s="7"/>
      <c r="C197" s="21"/>
      <c r="D197" s="36"/>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5" x14ac:dyDescent="0.45">
      <c r="A198" s="7"/>
      <c r="B198" s="7"/>
      <c r="C198" s="21"/>
      <c r="D198" s="36"/>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5" x14ac:dyDescent="0.45">
      <c r="A199" s="7"/>
      <c r="B199" s="7"/>
      <c r="C199" s="21"/>
      <c r="D199" s="36"/>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5" x14ac:dyDescent="0.45">
      <c r="A200" s="7"/>
      <c r="B200" s="7"/>
      <c r="C200" s="21"/>
      <c r="D200" s="36"/>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5" x14ac:dyDescent="0.45">
      <c r="A201" s="7"/>
      <c r="B201" s="7"/>
      <c r="C201" s="21"/>
      <c r="D201" s="36"/>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5" x14ac:dyDescent="0.45">
      <c r="A202" s="7"/>
      <c r="B202" s="7"/>
      <c r="C202" s="21"/>
      <c r="D202" s="36"/>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5" x14ac:dyDescent="0.45">
      <c r="A203" s="7"/>
      <c r="B203" s="7"/>
      <c r="C203" s="21"/>
      <c r="D203" s="36"/>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5" x14ac:dyDescent="0.45">
      <c r="A204" s="7"/>
      <c r="B204" s="7"/>
      <c r="C204" s="21"/>
      <c r="D204" s="36"/>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5" x14ac:dyDescent="0.45">
      <c r="A205" s="7"/>
      <c r="B205" s="7"/>
      <c r="C205" s="21"/>
      <c r="D205" s="36"/>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5" x14ac:dyDescent="0.45">
      <c r="A206" s="7"/>
      <c r="B206" s="7"/>
      <c r="C206" s="21"/>
      <c r="D206" s="36"/>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5" x14ac:dyDescent="0.45">
      <c r="A207" s="7"/>
      <c r="B207" s="7"/>
      <c r="C207" s="21"/>
      <c r="D207" s="36"/>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5" x14ac:dyDescent="0.45">
      <c r="A208" s="7"/>
      <c r="B208" s="7"/>
      <c r="C208" s="21"/>
      <c r="D208" s="36"/>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5" x14ac:dyDescent="0.45">
      <c r="A209" s="7"/>
      <c r="B209" s="7"/>
      <c r="C209" s="21"/>
      <c r="D209" s="36"/>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5" x14ac:dyDescent="0.45">
      <c r="A210" s="7"/>
      <c r="B210" s="7"/>
      <c r="C210" s="21"/>
      <c r="D210" s="36"/>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5" x14ac:dyDescent="0.45">
      <c r="A211" s="7"/>
      <c r="B211" s="7"/>
      <c r="C211" s="21"/>
      <c r="D211" s="36"/>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5" x14ac:dyDescent="0.45">
      <c r="A212" s="7"/>
      <c r="B212" s="7"/>
      <c r="C212" s="21"/>
      <c r="D212" s="36"/>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5" x14ac:dyDescent="0.45">
      <c r="A213" s="7"/>
      <c r="B213" s="7"/>
      <c r="C213" s="21"/>
      <c r="D213" s="36"/>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5" x14ac:dyDescent="0.45">
      <c r="A214" s="7"/>
      <c r="B214" s="7"/>
      <c r="C214" s="21"/>
      <c r="D214" s="36"/>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5" x14ac:dyDescent="0.45">
      <c r="A215" s="7"/>
      <c r="B215" s="7"/>
      <c r="C215" s="21"/>
      <c r="D215" s="36"/>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5" x14ac:dyDescent="0.45">
      <c r="A216" s="7"/>
      <c r="B216" s="7"/>
      <c r="C216" s="21"/>
      <c r="D216" s="36"/>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5" x14ac:dyDescent="0.45">
      <c r="A217" s="7"/>
      <c r="B217" s="7"/>
      <c r="C217" s="21"/>
      <c r="D217" s="36"/>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5" x14ac:dyDescent="0.45">
      <c r="A218" s="7"/>
      <c r="B218" s="7"/>
      <c r="C218" s="21"/>
      <c r="D218" s="36"/>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5" x14ac:dyDescent="0.45">
      <c r="A219" s="7"/>
      <c r="B219" s="7"/>
      <c r="C219" s="21"/>
      <c r="D219" s="36"/>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5" x14ac:dyDescent="0.45">
      <c r="A220" s="7"/>
      <c r="B220" s="7"/>
      <c r="C220" s="21"/>
      <c r="D220" s="36"/>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5" x14ac:dyDescent="0.45">
      <c r="A221" s="7"/>
      <c r="B221" s="7"/>
      <c r="C221" s="21"/>
      <c r="D221" s="36"/>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5" x14ac:dyDescent="0.45">
      <c r="A222" s="7"/>
      <c r="B222" s="7"/>
      <c r="C222" s="21"/>
      <c r="D222" s="36"/>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5" x14ac:dyDescent="0.45">
      <c r="A223" s="7"/>
      <c r="B223" s="7"/>
      <c r="C223" s="21"/>
      <c r="D223" s="36"/>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5" x14ac:dyDescent="0.45">
      <c r="A224" s="7"/>
      <c r="B224" s="7"/>
      <c r="C224" s="21"/>
      <c r="D224" s="36"/>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5" x14ac:dyDescent="0.45">
      <c r="A225" s="7"/>
      <c r="B225" s="7"/>
      <c r="C225" s="21"/>
      <c r="D225" s="36"/>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5" x14ac:dyDescent="0.45">
      <c r="A226" s="7"/>
      <c r="B226" s="7"/>
      <c r="C226" s="21"/>
      <c r="D226" s="36"/>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5" x14ac:dyDescent="0.45">
      <c r="A227" s="7"/>
      <c r="B227" s="7"/>
      <c r="C227" s="21"/>
      <c r="D227" s="36"/>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5" x14ac:dyDescent="0.45">
      <c r="A228" s="7"/>
      <c r="B228" s="7"/>
      <c r="C228" s="21"/>
      <c r="D228" s="36"/>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5" x14ac:dyDescent="0.45">
      <c r="A229" s="7"/>
      <c r="B229" s="7"/>
      <c r="C229" s="21"/>
      <c r="D229" s="36"/>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5" x14ac:dyDescent="0.45">
      <c r="A230" s="7"/>
      <c r="B230" s="7"/>
      <c r="C230" s="21"/>
      <c r="D230" s="36"/>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5" x14ac:dyDescent="0.45">
      <c r="A231" s="7"/>
      <c r="B231" s="7"/>
      <c r="C231" s="21"/>
      <c r="D231" s="36"/>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5" x14ac:dyDescent="0.45">
      <c r="A232" s="7"/>
      <c r="B232" s="7"/>
      <c r="C232" s="21"/>
      <c r="D232" s="36"/>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5" x14ac:dyDescent="0.45">
      <c r="A233" s="7"/>
      <c r="B233" s="7"/>
      <c r="C233" s="21"/>
      <c r="D233" s="36"/>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5" x14ac:dyDescent="0.45">
      <c r="A234" s="7"/>
      <c r="B234" s="7"/>
      <c r="C234" s="21"/>
      <c r="D234" s="36"/>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5" x14ac:dyDescent="0.45">
      <c r="A235" s="7"/>
      <c r="B235" s="7"/>
      <c r="C235" s="21"/>
      <c r="D235" s="36"/>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5" x14ac:dyDescent="0.45">
      <c r="A236" s="7"/>
      <c r="B236" s="7"/>
      <c r="C236" s="21"/>
      <c r="D236" s="36"/>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5" x14ac:dyDescent="0.45">
      <c r="A237" s="7"/>
      <c r="B237" s="7"/>
      <c r="C237" s="21"/>
      <c r="D237" s="36"/>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5" x14ac:dyDescent="0.45">
      <c r="A238" s="7"/>
      <c r="B238" s="7"/>
      <c r="C238" s="21"/>
      <c r="D238" s="36"/>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5" x14ac:dyDescent="0.45">
      <c r="A239" s="7"/>
      <c r="B239" s="7"/>
      <c r="C239" s="21"/>
      <c r="D239" s="36"/>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5" x14ac:dyDescent="0.45">
      <c r="A240" s="7"/>
      <c r="B240" s="7"/>
      <c r="C240" s="21"/>
      <c r="D240" s="36"/>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5" x14ac:dyDescent="0.45">
      <c r="A241" s="7"/>
      <c r="B241" s="7"/>
      <c r="C241" s="21"/>
      <c r="D241" s="36"/>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5" x14ac:dyDescent="0.45">
      <c r="A242" s="7"/>
      <c r="B242" s="7"/>
      <c r="C242" s="21"/>
      <c r="D242" s="36"/>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5" x14ac:dyDescent="0.45">
      <c r="A243" s="7"/>
      <c r="B243" s="7"/>
      <c r="C243" s="21"/>
      <c r="D243" s="36"/>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5" x14ac:dyDescent="0.45">
      <c r="A244" s="7"/>
      <c r="B244" s="7"/>
      <c r="C244" s="21"/>
      <c r="D244" s="36"/>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5" x14ac:dyDescent="0.45">
      <c r="A245" s="7"/>
      <c r="B245" s="7"/>
      <c r="C245" s="21"/>
      <c r="D245" s="36"/>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5" x14ac:dyDescent="0.45">
      <c r="A246" s="7"/>
      <c r="B246" s="7"/>
      <c r="C246" s="21"/>
      <c r="D246" s="36"/>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5" x14ac:dyDescent="0.45">
      <c r="A247" s="7"/>
      <c r="B247" s="7"/>
      <c r="C247" s="21"/>
      <c r="D247" s="36"/>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5" x14ac:dyDescent="0.45">
      <c r="A248" s="7"/>
      <c r="B248" s="7"/>
      <c r="C248" s="21"/>
      <c r="D248" s="36"/>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5" x14ac:dyDescent="0.45">
      <c r="A249" s="7"/>
      <c r="B249" s="7"/>
      <c r="C249" s="21"/>
      <c r="D249" s="36"/>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5" x14ac:dyDescent="0.45">
      <c r="A250" s="7"/>
      <c r="B250" s="7"/>
      <c r="C250" s="21"/>
      <c r="D250" s="36"/>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5" x14ac:dyDescent="0.45">
      <c r="A251" s="7"/>
      <c r="B251" s="7"/>
      <c r="C251" s="21"/>
      <c r="D251" s="36"/>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5" x14ac:dyDescent="0.45">
      <c r="A252" s="7"/>
      <c r="B252" s="7"/>
      <c r="C252" s="21"/>
      <c r="D252" s="36"/>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5" x14ac:dyDescent="0.45">
      <c r="A253" s="7"/>
      <c r="B253" s="7"/>
      <c r="C253" s="21"/>
      <c r="D253" s="36"/>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5" x14ac:dyDescent="0.45">
      <c r="A254" s="7"/>
      <c r="B254" s="7"/>
      <c r="C254" s="21"/>
      <c r="D254" s="36"/>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5" x14ac:dyDescent="0.45">
      <c r="A255" s="7"/>
      <c r="B255" s="7"/>
      <c r="C255" s="21"/>
      <c r="D255" s="36"/>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5" x14ac:dyDescent="0.45">
      <c r="A256" s="7"/>
      <c r="B256" s="7"/>
      <c r="C256" s="21"/>
      <c r="D256" s="36"/>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5" x14ac:dyDescent="0.45">
      <c r="A257" s="7"/>
      <c r="B257" s="7"/>
      <c r="C257" s="21"/>
      <c r="D257" s="36"/>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5" x14ac:dyDescent="0.45">
      <c r="A258" s="7"/>
      <c r="B258" s="7"/>
      <c r="C258" s="21"/>
      <c r="D258" s="36"/>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5" x14ac:dyDescent="0.45">
      <c r="A259" s="7"/>
      <c r="B259" s="7"/>
      <c r="C259" s="21"/>
      <c r="D259" s="36"/>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5" x14ac:dyDescent="0.45">
      <c r="A260" s="7"/>
      <c r="B260" s="7"/>
      <c r="C260" s="21"/>
      <c r="D260" s="36"/>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5" x14ac:dyDescent="0.45">
      <c r="A261" s="7"/>
      <c r="B261" s="7"/>
      <c r="C261" s="21"/>
      <c r="D261" s="36"/>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5" x14ac:dyDescent="0.45">
      <c r="A262" s="7"/>
      <c r="B262" s="7"/>
      <c r="C262" s="21"/>
      <c r="D262" s="36"/>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5" x14ac:dyDescent="0.45">
      <c r="A263" s="7"/>
      <c r="B263" s="7"/>
      <c r="C263" s="21"/>
      <c r="D263" s="36"/>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5" x14ac:dyDescent="0.45">
      <c r="A264" s="7"/>
      <c r="B264" s="7"/>
      <c r="C264" s="21"/>
      <c r="D264" s="36"/>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5" x14ac:dyDescent="0.45">
      <c r="A265" s="7"/>
      <c r="B265" s="7"/>
      <c r="C265" s="21"/>
      <c r="D265" s="36"/>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5" x14ac:dyDescent="0.45">
      <c r="A266" s="7"/>
      <c r="B266" s="7"/>
      <c r="C266" s="21"/>
      <c r="D266" s="36"/>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5" x14ac:dyDescent="0.45">
      <c r="A267" s="7"/>
      <c r="B267" s="7"/>
      <c r="C267" s="21"/>
      <c r="D267" s="36"/>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5" x14ac:dyDescent="0.45">
      <c r="A268" s="7"/>
      <c r="B268" s="7"/>
      <c r="C268" s="21"/>
      <c r="D268" s="36"/>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5" x14ac:dyDescent="0.45">
      <c r="A269" s="7"/>
      <c r="B269" s="7"/>
      <c r="C269" s="21"/>
      <c r="D269" s="36"/>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5" x14ac:dyDescent="0.45">
      <c r="A270" s="7"/>
      <c r="B270" s="7"/>
      <c r="C270" s="21"/>
      <c r="D270" s="36"/>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5" x14ac:dyDescent="0.45">
      <c r="A271" s="7"/>
      <c r="B271" s="7"/>
      <c r="C271" s="21"/>
      <c r="D271" s="36"/>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5" x14ac:dyDescent="0.45">
      <c r="A272" s="7"/>
      <c r="B272" s="7"/>
      <c r="C272" s="21"/>
      <c r="D272" s="36"/>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5" x14ac:dyDescent="0.45">
      <c r="A273" s="7"/>
      <c r="B273" s="7"/>
      <c r="C273" s="21"/>
      <c r="D273" s="36"/>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5" x14ac:dyDescent="0.45">
      <c r="A274" s="7"/>
      <c r="B274" s="7"/>
      <c r="C274" s="21"/>
      <c r="D274" s="36"/>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5" x14ac:dyDescent="0.45">
      <c r="A275" s="7"/>
      <c r="B275" s="7"/>
      <c r="C275" s="21"/>
      <c r="D275" s="36"/>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5" x14ac:dyDescent="0.45">
      <c r="A276" s="7"/>
      <c r="B276" s="7"/>
      <c r="C276" s="21"/>
      <c r="D276" s="36"/>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5" x14ac:dyDescent="0.45">
      <c r="A277" s="7"/>
      <c r="B277" s="7"/>
      <c r="C277" s="21"/>
      <c r="D277" s="36"/>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5" x14ac:dyDescent="0.45">
      <c r="A278" s="7"/>
      <c r="B278" s="7"/>
      <c r="C278" s="21"/>
      <c r="D278" s="36"/>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5" x14ac:dyDescent="0.45">
      <c r="A279" s="7"/>
      <c r="B279" s="7"/>
      <c r="C279" s="21"/>
      <c r="D279" s="36"/>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5" x14ac:dyDescent="0.45">
      <c r="A280" s="7"/>
      <c r="B280" s="7"/>
      <c r="C280" s="21"/>
      <c r="D280" s="36"/>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5" x14ac:dyDescent="0.45">
      <c r="A281" s="7"/>
      <c r="B281" s="7"/>
      <c r="C281" s="21"/>
      <c r="D281" s="36"/>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5" x14ac:dyDescent="0.45">
      <c r="A282" s="7"/>
      <c r="B282" s="7"/>
      <c r="C282" s="21"/>
      <c r="D282" s="36"/>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5" x14ac:dyDescent="0.45">
      <c r="A283" s="7"/>
      <c r="B283" s="7"/>
      <c r="C283" s="21"/>
      <c r="D283" s="36"/>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5" x14ac:dyDescent="0.45">
      <c r="A284" s="7"/>
      <c r="B284" s="7"/>
      <c r="C284" s="21"/>
      <c r="D284" s="36"/>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5" x14ac:dyDescent="0.45">
      <c r="A285" s="7"/>
      <c r="B285" s="7"/>
      <c r="C285" s="21"/>
      <c r="D285" s="36"/>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5" x14ac:dyDescent="0.45">
      <c r="A286" s="7"/>
      <c r="B286" s="7"/>
      <c r="C286" s="21"/>
      <c r="D286" s="36"/>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5" x14ac:dyDescent="0.45">
      <c r="A287" s="7"/>
      <c r="B287" s="7"/>
      <c r="C287" s="21"/>
      <c r="D287" s="36"/>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5" x14ac:dyDescent="0.45">
      <c r="A288" s="7"/>
      <c r="B288" s="7"/>
      <c r="C288" s="21"/>
      <c r="D288" s="36"/>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5" x14ac:dyDescent="0.45">
      <c r="A289" s="7"/>
      <c r="B289" s="7"/>
      <c r="C289" s="21"/>
      <c r="D289" s="36"/>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5" x14ac:dyDescent="0.45">
      <c r="A290" s="7"/>
      <c r="B290" s="7"/>
      <c r="C290" s="21"/>
      <c r="D290" s="36"/>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5" x14ac:dyDescent="0.45">
      <c r="A291" s="7"/>
      <c r="B291" s="7"/>
      <c r="C291" s="21"/>
      <c r="D291" s="36"/>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5" x14ac:dyDescent="0.45">
      <c r="A292" s="7"/>
      <c r="B292" s="7"/>
      <c r="C292" s="21"/>
      <c r="D292" s="36"/>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5" x14ac:dyDescent="0.45">
      <c r="A293" s="7"/>
      <c r="B293" s="7"/>
      <c r="C293" s="21"/>
      <c r="D293" s="36"/>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5" x14ac:dyDescent="0.45">
      <c r="A294" s="7"/>
      <c r="B294" s="7"/>
      <c r="C294" s="21"/>
      <c r="D294" s="36"/>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5" x14ac:dyDescent="0.45">
      <c r="A295" s="7"/>
      <c r="B295" s="7"/>
      <c r="C295" s="21"/>
      <c r="D295" s="36"/>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5" x14ac:dyDescent="0.45">
      <c r="A296" s="7"/>
      <c r="B296" s="7"/>
      <c r="C296" s="21"/>
      <c r="D296" s="36"/>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5" x14ac:dyDescent="0.45">
      <c r="A297" s="7"/>
      <c r="B297" s="7"/>
      <c r="C297" s="21"/>
      <c r="D297" s="36"/>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5" x14ac:dyDescent="0.45">
      <c r="A298" s="7"/>
      <c r="B298" s="7"/>
      <c r="C298" s="21"/>
      <c r="D298" s="36"/>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5" x14ac:dyDescent="0.45">
      <c r="A299" s="7"/>
      <c r="B299" s="7"/>
      <c r="C299" s="21"/>
      <c r="D299" s="36"/>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5" x14ac:dyDescent="0.45">
      <c r="A300" s="7"/>
      <c r="B300" s="7"/>
      <c r="C300" s="21"/>
      <c r="D300" s="36"/>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5" x14ac:dyDescent="0.45">
      <c r="A301" s="7"/>
      <c r="B301" s="7"/>
      <c r="C301" s="21"/>
      <c r="D301" s="36"/>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5" x14ac:dyDescent="0.45">
      <c r="A302" s="7"/>
      <c r="B302" s="7"/>
      <c r="C302" s="21"/>
      <c r="D302" s="36"/>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5" x14ac:dyDescent="0.45">
      <c r="A303" s="7"/>
      <c r="B303" s="7"/>
      <c r="C303" s="21"/>
      <c r="D303" s="36"/>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5" x14ac:dyDescent="0.45">
      <c r="A304" s="7"/>
      <c r="B304" s="7"/>
      <c r="C304" s="21"/>
      <c r="D304" s="36"/>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5" x14ac:dyDescent="0.45">
      <c r="A305" s="7"/>
      <c r="B305" s="7"/>
      <c r="C305" s="21"/>
      <c r="D305" s="36"/>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5" x14ac:dyDescent="0.45">
      <c r="A306" s="7"/>
      <c r="B306" s="7"/>
      <c r="C306" s="21"/>
      <c r="D306" s="36"/>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5" x14ac:dyDescent="0.45">
      <c r="A307" s="7"/>
      <c r="B307" s="7"/>
      <c r="C307" s="21"/>
      <c r="D307" s="36"/>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5" x14ac:dyDescent="0.45">
      <c r="A308" s="7"/>
      <c r="B308" s="7"/>
      <c r="C308" s="21"/>
      <c r="D308" s="36"/>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5" x14ac:dyDescent="0.45">
      <c r="A309" s="7"/>
      <c r="B309" s="7"/>
      <c r="C309" s="21"/>
      <c r="D309" s="36"/>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5" x14ac:dyDescent="0.45">
      <c r="A310" s="7"/>
      <c r="B310" s="7"/>
      <c r="C310" s="21"/>
      <c r="D310" s="36"/>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5" x14ac:dyDescent="0.45">
      <c r="A311" s="7"/>
      <c r="B311" s="7"/>
      <c r="C311" s="21"/>
      <c r="D311" s="36"/>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5" x14ac:dyDescent="0.45">
      <c r="A312" s="7"/>
      <c r="B312" s="7"/>
      <c r="C312" s="21"/>
      <c r="D312" s="36"/>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5" x14ac:dyDescent="0.45">
      <c r="A313" s="7"/>
      <c r="B313" s="7"/>
      <c r="C313" s="21"/>
      <c r="D313" s="36"/>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5" x14ac:dyDescent="0.45">
      <c r="A314" s="7"/>
      <c r="B314" s="7"/>
      <c r="C314" s="21"/>
      <c r="D314" s="36"/>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5" x14ac:dyDescent="0.45">
      <c r="A315" s="7"/>
      <c r="B315" s="7"/>
      <c r="C315" s="21"/>
      <c r="D315" s="36"/>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5" x14ac:dyDescent="0.45">
      <c r="A316" s="7"/>
      <c r="B316" s="7"/>
      <c r="C316" s="21"/>
      <c r="D316" s="36"/>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5" x14ac:dyDescent="0.45">
      <c r="A317" s="7"/>
      <c r="B317" s="7"/>
      <c r="C317" s="21"/>
      <c r="D317" s="36"/>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5" x14ac:dyDescent="0.45">
      <c r="A318" s="7"/>
      <c r="B318" s="7"/>
      <c r="C318" s="21"/>
      <c r="D318" s="36"/>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5" x14ac:dyDescent="0.45">
      <c r="A319" s="7"/>
      <c r="B319" s="7"/>
      <c r="C319" s="21"/>
      <c r="D319" s="36"/>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5" x14ac:dyDescent="0.45">
      <c r="A320" s="7"/>
      <c r="B320" s="7"/>
      <c r="C320" s="21"/>
      <c r="D320" s="36"/>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5" x14ac:dyDescent="0.45">
      <c r="A321" s="7"/>
      <c r="B321" s="7"/>
      <c r="C321" s="21"/>
      <c r="D321" s="36"/>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5" x14ac:dyDescent="0.45">
      <c r="A322" s="7"/>
      <c r="B322" s="7"/>
      <c r="C322" s="21"/>
      <c r="D322" s="36"/>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5" x14ac:dyDescent="0.45">
      <c r="A323" s="7"/>
      <c r="B323" s="7"/>
      <c r="C323" s="21"/>
      <c r="D323" s="36"/>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5" x14ac:dyDescent="0.45">
      <c r="A324" s="7"/>
      <c r="B324" s="7"/>
      <c r="C324" s="21"/>
      <c r="D324" s="36"/>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5" x14ac:dyDescent="0.45">
      <c r="A325" s="7"/>
      <c r="B325" s="7"/>
      <c r="C325" s="21"/>
      <c r="D325" s="36"/>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5" x14ac:dyDescent="0.45">
      <c r="A326" s="7"/>
      <c r="B326" s="7"/>
      <c r="C326" s="21"/>
      <c r="D326" s="36"/>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5" x14ac:dyDescent="0.45">
      <c r="A327" s="7"/>
      <c r="B327" s="7"/>
      <c r="C327" s="21"/>
      <c r="D327" s="36"/>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5" x14ac:dyDescent="0.45">
      <c r="A328" s="7"/>
      <c r="B328" s="7"/>
      <c r="C328" s="21"/>
      <c r="D328" s="36"/>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5" x14ac:dyDescent="0.45">
      <c r="A329" s="7"/>
      <c r="B329" s="7"/>
      <c r="C329" s="21"/>
      <c r="D329" s="36"/>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5" x14ac:dyDescent="0.45">
      <c r="A330" s="7"/>
      <c r="B330" s="7"/>
      <c r="C330" s="21"/>
      <c r="D330" s="36"/>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5" x14ac:dyDescent="0.45">
      <c r="A331" s="7"/>
      <c r="B331" s="7"/>
      <c r="C331" s="21"/>
      <c r="D331" s="36"/>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5" x14ac:dyDescent="0.45">
      <c r="A332" s="7"/>
      <c r="B332" s="7"/>
      <c r="C332" s="21"/>
      <c r="D332" s="36"/>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5" x14ac:dyDescent="0.45">
      <c r="A333" s="7"/>
      <c r="B333" s="7"/>
      <c r="C333" s="21"/>
      <c r="D333" s="36"/>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5" x14ac:dyDescent="0.45">
      <c r="A334" s="7"/>
      <c r="B334" s="7"/>
      <c r="C334" s="21"/>
      <c r="D334" s="36"/>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5" x14ac:dyDescent="0.45">
      <c r="A335" s="7"/>
      <c r="B335" s="7"/>
      <c r="C335" s="21"/>
      <c r="D335" s="36"/>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5" x14ac:dyDescent="0.45">
      <c r="A336" s="7"/>
      <c r="B336" s="7"/>
      <c r="C336" s="21"/>
      <c r="D336" s="36"/>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5" x14ac:dyDescent="0.45">
      <c r="A337" s="7"/>
      <c r="B337" s="7"/>
      <c r="C337" s="21"/>
      <c r="D337" s="36"/>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5" x14ac:dyDescent="0.45">
      <c r="A338" s="7"/>
      <c r="B338" s="7"/>
      <c r="C338" s="21"/>
      <c r="D338" s="36"/>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5" x14ac:dyDescent="0.45">
      <c r="A339" s="7"/>
      <c r="B339" s="7"/>
      <c r="C339" s="21"/>
      <c r="D339" s="36"/>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5" x14ac:dyDescent="0.45">
      <c r="A340" s="7"/>
      <c r="B340" s="7"/>
      <c r="C340" s="21"/>
      <c r="D340" s="36"/>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5" x14ac:dyDescent="0.45">
      <c r="A341" s="7"/>
      <c r="B341" s="7"/>
      <c r="C341" s="21"/>
      <c r="D341" s="36"/>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5" x14ac:dyDescent="0.45">
      <c r="A342" s="7"/>
      <c r="B342" s="7"/>
      <c r="C342" s="21"/>
      <c r="D342" s="36"/>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5" x14ac:dyDescent="0.45">
      <c r="A343" s="7"/>
      <c r="B343" s="7"/>
      <c r="C343" s="21"/>
      <c r="D343" s="36"/>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5" x14ac:dyDescent="0.45">
      <c r="A344" s="7"/>
      <c r="B344" s="7"/>
      <c r="C344" s="21"/>
      <c r="D344" s="36"/>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5" x14ac:dyDescent="0.45">
      <c r="A345" s="7"/>
      <c r="B345" s="7"/>
      <c r="C345" s="21"/>
      <c r="D345" s="36"/>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5" x14ac:dyDescent="0.45">
      <c r="A346" s="7"/>
      <c r="B346" s="7"/>
      <c r="C346" s="21"/>
      <c r="D346" s="36"/>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5" x14ac:dyDescent="0.45">
      <c r="A347" s="7"/>
      <c r="B347" s="7"/>
      <c r="C347" s="21"/>
      <c r="D347" s="36"/>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5" x14ac:dyDescent="0.45">
      <c r="A348" s="7"/>
      <c r="B348" s="7"/>
      <c r="C348" s="21"/>
      <c r="D348" s="36"/>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5" x14ac:dyDescent="0.45">
      <c r="A349" s="7"/>
      <c r="B349" s="7"/>
      <c r="C349" s="21"/>
      <c r="D349" s="36"/>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5" x14ac:dyDescent="0.45">
      <c r="A350" s="7"/>
      <c r="B350" s="7"/>
      <c r="C350" s="21"/>
      <c r="D350" s="36"/>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5" x14ac:dyDescent="0.45">
      <c r="A351" s="7"/>
      <c r="B351" s="7"/>
      <c r="C351" s="21"/>
      <c r="D351" s="36"/>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5" x14ac:dyDescent="0.45">
      <c r="A352" s="7"/>
      <c r="B352" s="7"/>
      <c r="C352" s="21"/>
      <c r="D352" s="36"/>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5" x14ac:dyDescent="0.45">
      <c r="A353" s="7"/>
      <c r="B353" s="7"/>
      <c r="C353" s="21"/>
      <c r="D353" s="36"/>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5" x14ac:dyDescent="0.45">
      <c r="A354" s="7"/>
      <c r="B354" s="7"/>
      <c r="C354" s="21"/>
      <c r="D354" s="36"/>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5" x14ac:dyDescent="0.45">
      <c r="A355" s="7"/>
      <c r="B355" s="7"/>
      <c r="C355" s="21"/>
      <c r="D355" s="36"/>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5" x14ac:dyDescent="0.45">
      <c r="A356" s="7"/>
      <c r="B356" s="7"/>
      <c r="C356" s="21"/>
      <c r="D356" s="36"/>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5" x14ac:dyDescent="0.45">
      <c r="A357" s="7"/>
      <c r="B357" s="7"/>
      <c r="C357" s="21"/>
      <c r="D357" s="36"/>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5" x14ac:dyDescent="0.45">
      <c r="A358" s="7"/>
      <c r="B358" s="7"/>
      <c r="C358" s="21"/>
      <c r="D358" s="36"/>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5" x14ac:dyDescent="0.45">
      <c r="A359" s="7"/>
      <c r="B359" s="7"/>
      <c r="C359" s="21"/>
      <c r="D359" s="36"/>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5" x14ac:dyDescent="0.45">
      <c r="A360" s="7"/>
      <c r="B360" s="7"/>
      <c r="C360" s="21"/>
      <c r="D360" s="36"/>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5" x14ac:dyDescent="0.45">
      <c r="A361" s="7"/>
      <c r="B361" s="7"/>
      <c r="C361" s="21"/>
      <c r="D361" s="36"/>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5" x14ac:dyDescent="0.45">
      <c r="A362" s="7"/>
      <c r="B362" s="7"/>
      <c r="C362" s="21"/>
      <c r="D362" s="36"/>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5" x14ac:dyDescent="0.45">
      <c r="A363" s="7"/>
      <c r="B363" s="7"/>
      <c r="C363" s="21"/>
      <c r="D363" s="36"/>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5" x14ac:dyDescent="0.45">
      <c r="A364" s="7"/>
      <c r="B364" s="7"/>
      <c r="C364" s="21"/>
      <c r="D364" s="36"/>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5" x14ac:dyDescent="0.45">
      <c r="A365" s="7"/>
      <c r="B365" s="7"/>
      <c r="C365" s="21"/>
      <c r="D365" s="36"/>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5" x14ac:dyDescent="0.45">
      <c r="A366" s="7"/>
      <c r="B366" s="7"/>
      <c r="C366" s="21"/>
      <c r="D366" s="36"/>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5" x14ac:dyDescent="0.45">
      <c r="A367" s="7"/>
      <c r="B367" s="7"/>
      <c r="C367" s="21"/>
      <c r="D367" s="36"/>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5" x14ac:dyDescent="0.45">
      <c r="A368" s="7"/>
      <c r="B368" s="7"/>
      <c r="C368" s="21"/>
      <c r="D368" s="36"/>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5" x14ac:dyDescent="0.45">
      <c r="A369" s="7"/>
      <c r="B369" s="7"/>
      <c r="C369" s="21"/>
      <c r="D369" s="36"/>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5" x14ac:dyDescent="0.45">
      <c r="A370" s="7"/>
      <c r="B370" s="7"/>
      <c r="C370" s="21"/>
      <c r="D370" s="36"/>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5" x14ac:dyDescent="0.45">
      <c r="A371" s="7"/>
      <c r="B371" s="7"/>
      <c r="C371" s="21"/>
      <c r="D371" s="36"/>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5" x14ac:dyDescent="0.45">
      <c r="A372" s="7"/>
      <c r="B372" s="7"/>
      <c r="C372" s="21"/>
      <c r="D372" s="36"/>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5" x14ac:dyDescent="0.45">
      <c r="A373" s="7"/>
      <c r="B373" s="7"/>
      <c r="C373" s="21"/>
      <c r="D373" s="36"/>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5" x14ac:dyDescent="0.45">
      <c r="A374" s="7"/>
      <c r="B374" s="7"/>
      <c r="C374" s="21"/>
      <c r="D374" s="36"/>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5" x14ac:dyDescent="0.45">
      <c r="A375" s="7"/>
      <c r="B375" s="7"/>
      <c r="C375" s="21"/>
      <c r="D375" s="36"/>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5" x14ac:dyDescent="0.45">
      <c r="A376" s="7"/>
      <c r="B376" s="7"/>
      <c r="C376" s="21"/>
      <c r="D376" s="36"/>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5" x14ac:dyDescent="0.45">
      <c r="A377" s="7"/>
      <c r="B377" s="7"/>
      <c r="C377" s="21"/>
      <c r="D377" s="36"/>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5" x14ac:dyDescent="0.45">
      <c r="A378" s="7"/>
      <c r="B378" s="7"/>
      <c r="C378" s="21"/>
      <c r="D378" s="36"/>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5" x14ac:dyDescent="0.45">
      <c r="A379" s="7"/>
      <c r="B379" s="7"/>
      <c r="C379" s="21"/>
      <c r="D379" s="36"/>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5" x14ac:dyDescent="0.45">
      <c r="A380" s="7"/>
      <c r="B380" s="7"/>
      <c r="C380" s="21"/>
      <c r="D380" s="36"/>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5" x14ac:dyDescent="0.45">
      <c r="A381" s="7"/>
      <c r="B381" s="7"/>
      <c r="C381" s="21"/>
      <c r="D381" s="36"/>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5" x14ac:dyDescent="0.45">
      <c r="A382" s="7"/>
      <c r="B382" s="7"/>
      <c r="C382" s="21"/>
      <c r="D382" s="36"/>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5" x14ac:dyDescent="0.45">
      <c r="A383" s="7"/>
      <c r="B383" s="7"/>
      <c r="C383" s="21"/>
      <c r="D383" s="36"/>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5" x14ac:dyDescent="0.45">
      <c r="A384" s="7"/>
      <c r="B384" s="7"/>
      <c r="C384" s="21"/>
      <c r="D384" s="36"/>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5" x14ac:dyDescent="0.45">
      <c r="A385" s="7"/>
      <c r="B385" s="7"/>
      <c r="C385" s="21"/>
      <c r="D385" s="36"/>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5" x14ac:dyDescent="0.45">
      <c r="A386" s="7"/>
      <c r="B386" s="7"/>
      <c r="C386" s="21"/>
      <c r="D386" s="36"/>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5" x14ac:dyDescent="0.45">
      <c r="A387" s="7"/>
      <c r="B387" s="7"/>
      <c r="C387" s="21"/>
      <c r="D387" s="36"/>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5" x14ac:dyDescent="0.45">
      <c r="A388" s="7"/>
      <c r="B388" s="7"/>
      <c r="C388" s="21"/>
      <c r="D388" s="36"/>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5" x14ac:dyDescent="0.45">
      <c r="A389" s="7"/>
      <c r="B389" s="7"/>
      <c r="C389" s="21"/>
      <c r="D389" s="36"/>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5" x14ac:dyDescent="0.45">
      <c r="A390" s="7"/>
      <c r="B390" s="7"/>
      <c r="C390" s="21"/>
      <c r="D390" s="36"/>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5" x14ac:dyDescent="0.45">
      <c r="A391" s="7"/>
      <c r="B391" s="7"/>
      <c r="C391" s="21"/>
      <c r="D391" s="36"/>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5" x14ac:dyDescent="0.45">
      <c r="A392" s="7"/>
      <c r="B392" s="7"/>
      <c r="C392" s="21"/>
      <c r="D392" s="36"/>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5" x14ac:dyDescent="0.45">
      <c r="A393" s="7"/>
      <c r="B393" s="7"/>
      <c r="C393" s="21"/>
      <c r="D393" s="36"/>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5" x14ac:dyDescent="0.45">
      <c r="A394" s="7"/>
      <c r="B394" s="7"/>
      <c r="C394" s="21"/>
      <c r="D394" s="36"/>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5" x14ac:dyDescent="0.45">
      <c r="A395" s="7"/>
      <c r="B395" s="7"/>
      <c r="C395" s="21"/>
      <c r="D395" s="36"/>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5" x14ac:dyDescent="0.45">
      <c r="A396" s="7"/>
      <c r="B396" s="7"/>
      <c r="C396" s="21"/>
      <c r="D396" s="36"/>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5" x14ac:dyDescent="0.45">
      <c r="A397" s="7"/>
      <c r="B397" s="7"/>
      <c r="C397" s="21"/>
      <c r="D397" s="36"/>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5" x14ac:dyDescent="0.45">
      <c r="A398" s="7"/>
      <c r="B398" s="7"/>
      <c r="C398" s="21"/>
      <c r="D398" s="36"/>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5" x14ac:dyDescent="0.45">
      <c r="A399" s="7"/>
      <c r="B399" s="7"/>
      <c r="C399" s="21"/>
      <c r="D399" s="36"/>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5" x14ac:dyDescent="0.45">
      <c r="A400" s="7"/>
      <c r="B400" s="7"/>
      <c r="C400" s="21"/>
      <c r="D400" s="36"/>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5" x14ac:dyDescent="0.45">
      <c r="A401" s="7"/>
      <c r="B401" s="7"/>
      <c r="C401" s="21"/>
      <c r="D401" s="36"/>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5" x14ac:dyDescent="0.45">
      <c r="A402" s="7"/>
      <c r="B402" s="7"/>
      <c r="C402" s="21"/>
      <c r="D402" s="36"/>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5" x14ac:dyDescent="0.45">
      <c r="A403" s="7"/>
      <c r="B403" s="7"/>
      <c r="C403" s="21"/>
      <c r="D403" s="36"/>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5" x14ac:dyDescent="0.45">
      <c r="A404" s="7"/>
      <c r="B404" s="7"/>
      <c r="C404" s="21"/>
      <c r="D404" s="36"/>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5" x14ac:dyDescent="0.45">
      <c r="A405" s="7"/>
      <c r="B405" s="7"/>
      <c r="C405" s="21"/>
      <c r="D405" s="36"/>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5" x14ac:dyDescent="0.45">
      <c r="A406" s="7"/>
      <c r="B406" s="7"/>
      <c r="C406" s="21"/>
      <c r="D406" s="36"/>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5" x14ac:dyDescent="0.45">
      <c r="A407" s="7"/>
      <c r="B407" s="7"/>
      <c r="C407" s="21"/>
      <c r="D407" s="36"/>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5" x14ac:dyDescent="0.45">
      <c r="A408" s="7"/>
      <c r="B408" s="7"/>
      <c r="C408" s="21"/>
      <c r="D408" s="36"/>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5" x14ac:dyDescent="0.45">
      <c r="A409" s="7"/>
      <c r="B409" s="7"/>
      <c r="C409" s="21"/>
      <c r="D409" s="36"/>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5" x14ac:dyDescent="0.45">
      <c r="A410" s="7"/>
      <c r="B410" s="7"/>
      <c r="C410" s="21"/>
      <c r="D410" s="36"/>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5" x14ac:dyDescent="0.45">
      <c r="A411" s="7"/>
      <c r="B411" s="7"/>
      <c r="C411" s="21"/>
      <c r="D411" s="36"/>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5" x14ac:dyDescent="0.45">
      <c r="A412" s="7"/>
      <c r="B412" s="7"/>
      <c r="C412" s="21"/>
      <c r="D412" s="36"/>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5" x14ac:dyDescent="0.45">
      <c r="A413" s="7"/>
      <c r="B413" s="7"/>
      <c r="C413" s="21"/>
      <c r="D413" s="36"/>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5" x14ac:dyDescent="0.45">
      <c r="A414" s="7"/>
      <c r="B414" s="7"/>
      <c r="C414" s="21"/>
      <c r="D414" s="36"/>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5" x14ac:dyDescent="0.45">
      <c r="A415" s="7"/>
      <c r="B415" s="7"/>
      <c r="C415" s="21"/>
      <c r="D415" s="36"/>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5" x14ac:dyDescent="0.45">
      <c r="A416" s="7"/>
      <c r="B416" s="7"/>
      <c r="C416" s="21"/>
      <c r="D416" s="36"/>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5" x14ac:dyDescent="0.45">
      <c r="A417" s="7"/>
      <c r="B417" s="7"/>
      <c r="C417" s="21"/>
      <c r="D417" s="36"/>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5" x14ac:dyDescent="0.45">
      <c r="A418" s="7"/>
      <c r="B418" s="7"/>
      <c r="C418" s="21"/>
      <c r="D418" s="36"/>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5" x14ac:dyDescent="0.45">
      <c r="A419" s="7"/>
      <c r="B419" s="7"/>
      <c r="C419" s="21"/>
      <c r="D419" s="36"/>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5" x14ac:dyDescent="0.45">
      <c r="A420" s="7"/>
      <c r="B420" s="7"/>
      <c r="C420" s="21"/>
      <c r="D420" s="36"/>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5" x14ac:dyDescent="0.45">
      <c r="A421" s="7"/>
      <c r="B421" s="7"/>
      <c r="C421" s="21"/>
      <c r="D421" s="36"/>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5" x14ac:dyDescent="0.45">
      <c r="A422" s="7"/>
      <c r="B422" s="7"/>
      <c r="C422" s="21"/>
      <c r="D422" s="36"/>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5" x14ac:dyDescent="0.45">
      <c r="A423" s="7"/>
      <c r="B423" s="7"/>
      <c r="C423" s="21"/>
      <c r="D423" s="36"/>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5" x14ac:dyDescent="0.45">
      <c r="A424" s="7"/>
      <c r="B424" s="7"/>
      <c r="C424" s="21"/>
      <c r="D424" s="36"/>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5" x14ac:dyDescent="0.45">
      <c r="A425" s="7"/>
      <c r="B425" s="7"/>
      <c r="C425" s="21"/>
      <c r="D425" s="36"/>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5" x14ac:dyDescent="0.45">
      <c r="A426" s="7"/>
      <c r="B426" s="7"/>
      <c r="C426" s="21"/>
      <c r="D426" s="36"/>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5" x14ac:dyDescent="0.45">
      <c r="A427" s="7"/>
      <c r="B427" s="7"/>
      <c r="C427" s="21"/>
      <c r="D427" s="36"/>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5" x14ac:dyDescent="0.45">
      <c r="A428" s="7"/>
      <c r="B428" s="7"/>
      <c r="C428" s="21"/>
      <c r="D428" s="36"/>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5" x14ac:dyDescent="0.45">
      <c r="A429" s="7"/>
      <c r="B429" s="7"/>
      <c r="C429" s="21"/>
      <c r="D429" s="36"/>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5" x14ac:dyDescent="0.45">
      <c r="A430" s="7"/>
      <c r="B430" s="7"/>
      <c r="C430" s="21"/>
      <c r="D430" s="36"/>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5" x14ac:dyDescent="0.45">
      <c r="A431" s="7"/>
      <c r="B431" s="7"/>
      <c r="C431" s="21"/>
      <c r="D431" s="36"/>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5" x14ac:dyDescent="0.45">
      <c r="A432" s="7"/>
      <c r="B432" s="7"/>
      <c r="C432" s="21"/>
      <c r="D432" s="36"/>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5" x14ac:dyDescent="0.45">
      <c r="A433" s="7"/>
      <c r="B433" s="7"/>
      <c r="C433" s="21"/>
      <c r="D433" s="36"/>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5" x14ac:dyDescent="0.45">
      <c r="A434" s="7"/>
      <c r="B434" s="7"/>
      <c r="C434" s="21"/>
      <c r="D434" s="36"/>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5" x14ac:dyDescent="0.45">
      <c r="A435" s="7"/>
      <c r="B435" s="7"/>
      <c r="C435" s="21"/>
      <c r="D435" s="36"/>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5" x14ac:dyDescent="0.45">
      <c r="A436" s="7"/>
      <c r="B436" s="7"/>
      <c r="C436" s="21"/>
      <c r="D436" s="36"/>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5" x14ac:dyDescent="0.45">
      <c r="A437" s="7"/>
      <c r="B437" s="7"/>
      <c r="C437" s="21"/>
      <c r="D437" s="36"/>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5" x14ac:dyDescent="0.45">
      <c r="A438" s="7"/>
      <c r="B438" s="7"/>
      <c r="C438" s="21"/>
      <c r="D438" s="36"/>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5" x14ac:dyDescent="0.45">
      <c r="A439" s="7"/>
      <c r="B439" s="7"/>
      <c r="C439" s="21"/>
      <c r="D439" s="36"/>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5" x14ac:dyDescent="0.45">
      <c r="A440" s="7"/>
      <c r="B440" s="7"/>
      <c r="C440" s="21"/>
      <c r="D440" s="36"/>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5" x14ac:dyDescent="0.45">
      <c r="A441" s="7"/>
      <c r="B441" s="7"/>
      <c r="C441" s="21"/>
      <c r="D441" s="36"/>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5" x14ac:dyDescent="0.45">
      <c r="A442" s="7"/>
      <c r="B442" s="7"/>
      <c r="C442" s="21"/>
      <c r="D442" s="36"/>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5" x14ac:dyDescent="0.45">
      <c r="A443" s="7"/>
      <c r="B443" s="7"/>
      <c r="C443" s="21"/>
      <c r="D443" s="36"/>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5" x14ac:dyDescent="0.45">
      <c r="A444" s="7"/>
      <c r="B444" s="7"/>
      <c r="C444" s="21"/>
      <c r="D444" s="36"/>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5" x14ac:dyDescent="0.45">
      <c r="A445" s="7"/>
      <c r="B445" s="7"/>
      <c r="C445" s="21"/>
      <c r="D445" s="36"/>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5" x14ac:dyDescent="0.45">
      <c r="A446" s="7"/>
      <c r="B446" s="7"/>
      <c r="C446" s="21"/>
      <c r="D446" s="36"/>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5" x14ac:dyDescent="0.45">
      <c r="A447" s="7"/>
      <c r="B447" s="7"/>
      <c r="C447" s="21"/>
      <c r="D447" s="36"/>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5" x14ac:dyDescent="0.45">
      <c r="A448" s="7"/>
      <c r="B448" s="7"/>
      <c r="C448" s="21"/>
      <c r="D448" s="36"/>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5" x14ac:dyDescent="0.45">
      <c r="A449" s="7"/>
      <c r="B449" s="7"/>
      <c r="C449" s="21"/>
      <c r="D449" s="36"/>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5" x14ac:dyDescent="0.45">
      <c r="A450" s="7"/>
      <c r="B450" s="7"/>
      <c r="C450" s="21"/>
      <c r="D450" s="36"/>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5" x14ac:dyDescent="0.45">
      <c r="A451" s="7"/>
      <c r="B451" s="7"/>
      <c r="C451" s="21"/>
      <c r="D451" s="36"/>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5" x14ac:dyDescent="0.45">
      <c r="A452" s="7"/>
      <c r="B452" s="7"/>
      <c r="C452" s="21"/>
      <c r="D452" s="36"/>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5" x14ac:dyDescent="0.45">
      <c r="A453" s="7"/>
      <c r="B453" s="7"/>
      <c r="C453" s="21"/>
      <c r="D453" s="36"/>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5" x14ac:dyDescent="0.45">
      <c r="A454" s="7"/>
      <c r="B454" s="7"/>
      <c r="C454" s="21"/>
      <c r="D454" s="36"/>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5" x14ac:dyDescent="0.45">
      <c r="A455" s="7"/>
      <c r="B455" s="7"/>
      <c r="C455" s="21"/>
      <c r="D455" s="36"/>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5" x14ac:dyDescent="0.45">
      <c r="A456" s="7"/>
      <c r="B456" s="7"/>
      <c r="C456" s="21"/>
      <c r="D456" s="36"/>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5" x14ac:dyDescent="0.45">
      <c r="A457" s="7"/>
      <c r="B457" s="7"/>
      <c r="C457" s="21"/>
      <c r="D457" s="36"/>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5" x14ac:dyDescent="0.45">
      <c r="A458" s="7"/>
      <c r="B458" s="7"/>
      <c r="C458" s="21"/>
      <c r="D458" s="36"/>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5" x14ac:dyDescent="0.45">
      <c r="A459" s="7"/>
      <c r="B459" s="7"/>
      <c r="C459" s="21"/>
      <c r="D459" s="36"/>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5" x14ac:dyDescent="0.45">
      <c r="A460" s="7"/>
      <c r="B460" s="7"/>
      <c r="C460" s="21"/>
      <c r="D460" s="36"/>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5" x14ac:dyDescent="0.45">
      <c r="A461" s="7"/>
      <c r="B461" s="7"/>
      <c r="C461" s="21"/>
      <c r="D461" s="36"/>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5" x14ac:dyDescent="0.45">
      <c r="A462" s="7"/>
      <c r="B462" s="7"/>
      <c r="C462" s="21"/>
      <c r="D462" s="36"/>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5" x14ac:dyDescent="0.45">
      <c r="A463" s="7"/>
      <c r="B463" s="7"/>
      <c r="C463" s="21"/>
      <c r="D463" s="36"/>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5" x14ac:dyDescent="0.45">
      <c r="A464" s="7"/>
      <c r="B464" s="7"/>
      <c r="C464" s="21"/>
      <c r="D464" s="36"/>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5" x14ac:dyDescent="0.45">
      <c r="A465" s="7"/>
      <c r="B465" s="7"/>
      <c r="C465" s="21"/>
      <c r="D465" s="36"/>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5" x14ac:dyDescent="0.45">
      <c r="A466" s="7"/>
      <c r="B466" s="7"/>
      <c r="C466" s="21"/>
      <c r="D466" s="36"/>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5" x14ac:dyDescent="0.45">
      <c r="A467" s="7"/>
      <c r="B467" s="7"/>
      <c r="C467" s="21"/>
      <c r="D467" s="36"/>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5" x14ac:dyDescent="0.45">
      <c r="A468" s="7"/>
      <c r="B468" s="7"/>
      <c r="C468" s="21"/>
      <c r="D468" s="36"/>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5" x14ac:dyDescent="0.45">
      <c r="A469" s="7"/>
      <c r="B469" s="7"/>
      <c r="C469" s="21"/>
      <c r="D469" s="36"/>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5" x14ac:dyDescent="0.45">
      <c r="A470" s="7"/>
      <c r="B470" s="7"/>
      <c r="C470" s="21"/>
      <c r="D470" s="36"/>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5" x14ac:dyDescent="0.45">
      <c r="A471" s="7"/>
      <c r="B471" s="7"/>
      <c r="C471" s="21"/>
      <c r="D471" s="36"/>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5" x14ac:dyDescent="0.45">
      <c r="A472" s="7"/>
      <c r="B472" s="7"/>
      <c r="C472" s="21"/>
      <c r="D472" s="36"/>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5" x14ac:dyDescent="0.45">
      <c r="A473" s="7"/>
      <c r="B473" s="7"/>
      <c r="C473" s="21"/>
      <c r="D473" s="36"/>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5" x14ac:dyDescent="0.45">
      <c r="A474" s="7"/>
      <c r="B474" s="7"/>
      <c r="C474" s="21"/>
      <c r="D474" s="36"/>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5" x14ac:dyDescent="0.45">
      <c r="A475" s="7"/>
      <c r="B475" s="7"/>
      <c r="C475" s="21"/>
      <c r="D475" s="36"/>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5" x14ac:dyDescent="0.45">
      <c r="A476" s="7"/>
      <c r="B476" s="7"/>
      <c r="C476" s="21"/>
      <c r="D476" s="36"/>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5" x14ac:dyDescent="0.45">
      <c r="A477" s="7"/>
      <c r="B477" s="7"/>
      <c r="C477" s="21"/>
      <c r="D477" s="36"/>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5" x14ac:dyDescent="0.45">
      <c r="A478" s="7"/>
      <c r="B478" s="7"/>
      <c r="C478" s="21"/>
      <c r="D478" s="36"/>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5" x14ac:dyDescent="0.45">
      <c r="A479" s="7"/>
      <c r="B479" s="7"/>
      <c r="C479" s="21"/>
      <c r="D479" s="36"/>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5" x14ac:dyDescent="0.45">
      <c r="A480" s="7"/>
      <c r="B480" s="7"/>
      <c r="C480" s="21"/>
      <c r="D480" s="36"/>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5" x14ac:dyDescent="0.45">
      <c r="A481" s="7"/>
      <c r="B481" s="7"/>
      <c r="C481" s="21"/>
      <c r="D481" s="36"/>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5" x14ac:dyDescent="0.45">
      <c r="A482" s="7"/>
      <c r="B482" s="7"/>
      <c r="C482" s="21"/>
      <c r="D482" s="36"/>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5" x14ac:dyDescent="0.45">
      <c r="A483" s="7"/>
      <c r="B483" s="7"/>
      <c r="C483" s="21"/>
      <c r="D483" s="36"/>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5" x14ac:dyDescent="0.45">
      <c r="A484" s="7"/>
      <c r="B484" s="7"/>
      <c r="C484" s="21"/>
      <c r="D484" s="36"/>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5" x14ac:dyDescent="0.45">
      <c r="A485" s="7"/>
      <c r="B485" s="7"/>
      <c r="C485" s="21"/>
      <c r="D485" s="36"/>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5" x14ac:dyDescent="0.45">
      <c r="A486" s="7"/>
      <c r="B486" s="7"/>
      <c r="C486" s="21"/>
      <c r="D486" s="36"/>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5" x14ac:dyDescent="0.45">
      <c r="A487" s="7"/>
      <c r="B487" s="7"/>
      <c r="C487" s="21"/>
      <c r="D487" s="36"/>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5" x14ac:dyDescent="0.45">
      <c r="A488" s="7"/>
      <c r="B488" s="7"/>
      <c r="C488" s="21"/>
      <c r="D488" s="36"/>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5" x14ac:dyDescent="0.45">
      <c r="A489" s="7"/>
      <c r="B489" s="7"/>
      <c r="C489" s="21"/>
      <c r="D489" s="36"/>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5" x14ac:dyDescent="0.45">
      <c r="A490" s="7"/>
      <c r="B490" s="7"/>
      <c r="C490" s="21"/>
      <c r="D490" s="36"/>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5" x14ac:dyDescent="0.45">
      <c r="A491" s="7"/>
      <c r="B491" s="7"/>
      <c r="C491" s="21"/>
      <c r="D491" s="36"/>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5" x14ac:dyDescent="0.45">
      <c r="A492" s="7"/>
      <c r="B492" s="7"/>
      <c r="C492" s="21"/>
      <c r="D492" s="36"/>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5" x14ac:dyDescent="0.45">
      <c r="A493" s="7"/>
      <c r="B493" s="7"/>
      <c r="C493" s="21"/>
      <c r="D493" s="36"/>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5" x14ac:dyDescent="0.45">
      <c r="A494" s="7"/>
      <c r="B494" s="7"/>
      <c r="C494" s="21"/>
      <c r="D494" s="36"/>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5" x14ac:dyDescent="0.45">
      <c r="A495" s="7"/>
      <c r="B495" s="7"/>
      <c r="C495" s="21"/>
      <c r="D495" s="36"/>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5" x14ac:dyDescent="0.45">
      <c r="A496" s="7"/>
      <c r="B496" s="7"/>
      <c r="C496" s="21"/>
      <c r="D496" s="36"/>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5" x14ac:dyDescent="0.45">
      <c r="A497" s="7"/>
      <c r="B497" s="7"/>
      <c r="C497" s="21"/>
      <c r="D497" s="36"/>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5" x14ac:dyDescent="0.45">
      <c r="A498" s="7"/>
      <c r="B498" s="7"/>
      <c r="C498" s="21"/>
      <c r="D498" s="36"/>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5" x14ac:dyDescent="0.45">
      <c r="A499" s="7"/>
      <c r="B499" s="7"/>
      <c r="C499" s="21"/>
      <c r="D499" s="36"/>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5" x14ac:dyDescent="0.45">
      <c r="A500" s="7"/>
      <c r="B500" s="7"/>
      <c r="C500" s="21"/>
      <c r="D500" s="36"/>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5" x14ac:dyDescent="0.45">
      <c r="A501" s="7"/>
      <c r="B501" s="7"/>
      <c r="C501" s="21"/>
      <c r="D501" s="36"/>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5" x14ac:dyDescent="0.45">
      <c r="A502" s="7"/>
      <c r="B502" s="7"/>
      <c r="C502" s="21"/>
      <c r="D502" s="36"/>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5" x14ac:dyDescent="0.45">
      <c r="A503" s="7"/>
      <c r="B503" s="7"/>
      <c r="C503" s="21"/>
      <c r="D503" s="36"/>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5" x14ac:dyDescent="0.45">
      <c r="A504" s="7"/>
      <c r="B504" s="7"/>
      <c r="C504" s="21"/>
      <c r="D504" s="36"/>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5" x14ac:dyDescent="0.45">
      <c r="A505" s="7"/>
      <c r="B505" s="7"/>
      <c r="C505" s="21"/>
      <c r="D505" s="36"/>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5" x14ac:dyDescent="0.45">
      <c r="A506" s="7"/>
      <c r="B506" s="7"/>
      <c r="C506" s="21"/>
      <c r="D506" s="36"/>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5" x14ac:dyDescent="0.45">
      <c r="A507" s="7"/>
      <c r="B507" s="7"/>
      <c r="C507" s="21"/>
      <c r="D507" s="36"/>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5" x14ac:dyDescent="0.45">
      <c r="A508" s="7"/>
      <c r="B508" s="7"/>
      <c r="C508" s="21"/>
      <c r="D508" s="36"/>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5" x14ac:dyDescent="0.45">
      <c r="A509" s="7"/>
      <c r="B509" s="7"/>
      <c r="C509" s="21"/>
      <c r="D509" s="36"/>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5" x14ac:dyDescent="0.45">
      <c r="A510" s="7"/>
      <c r="B510" s="7"/>
      <c r="C510" s="21"/>
      <c r="D510" s="36"/>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5" x14ac:dyDescent="0.45">
      <c r="A511" s="7"/>
      <c r="B511" s="7"/>
      <c r="C511" s="21"/>
      <c r="D511" s="36"/>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5" x14ac:dyDescent="0.45">
      <c r="A512" s="7"/>
      <c r="B512" s="7"/>
      <c r="C512" s="21"/>
      <c r="D512" s="36"/>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5" x14ac:dyDescent="0.45">
      <c r="A513" s="7"/>
      <c r="B513" s="7"/>
      <c r="C513" s="21"/>
      <c r="D513" s="36"/>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5" x14ac:dyDescent="0.45">
      <c r="A514" s="7"/>
      <c r="B514" s="7"/>
      <c r="C514" s="21"/>
      <c r="D514" s="36"/>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5" x14ac:dyDescent="0.45">
      <c r="A515" s="7"/>
      <c r="B515" s="7"/>
      <c r="C515" s="21"/>
      <c r="D515" s="36"/>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5" x14ac:dyDescent="0.45">
      <c r="A516" s="7"/>
      <c r="B516" s="7"/>
      <c r="C516" s="21"/>
      <c r="D516" s="36"/>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5" x14ac:dyDescent="0.45">
      <c r="A517" s="7"/>
      <c r="B517" s="7"/>
      <c r="C517" s="21"/>
      <c r="D517" s="36"/>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5" x14ac:dyDescent="0.45">
      <c r="A518" s="7"/>
      <c r="B518" s="7"/>
      <c r="C518" s="21"/>
      <c r="D518" s="36"/>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5" x14ac:dyDescent="0.45">
      <c r="A519" s="7"/>
      <c r="B519" s="7"/>
      <c r="C519" s="21"/>
      <c r="D519" s="36"/>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5" x14ac:dyDescent="0.45">
      <c r="A520" s="7"/>
      <c r="B520" s="7"/>
      <c r="C520" s="21"/>
      <c r="D520" s="36"/>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5" x14ac:dyDescent="0.45">
      <c r="A521" s="7"/>
      <c r="B521" s="7"/>
      <c r="C521" s="21"/>
      <c r="D521" s="36"/>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5" x14ac:dyDescent="0.45">
      <c r="A522" s="7"/>
      <c r="B522" s="7"/>
      <c r="C522" s="21"/>
      <c r="D522" s="36"/>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5" x14ac:dyDescent="0.45">
      <c r="A523" s="7"/>
      <c r="B523" s="7"/>
      <c r="C523" s="21"/>
      <c r="D523" s="36"/>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5" x14ac:dyDescent="0.45">
      <c r="A524" s="7"/>
      <c r="B524" s="7"/>
      <c r="C524" s="21"/>
      <c r="D524" s="36"/>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5" x14ac:dyDescent="0.45">
      <c r="A525" s="7"/>
      <c r="B525" s="7"/>
      <c r="C525" s="21"/>
      <c r="D525" s="36"/>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5" x14ac:dyDescent="0.45">
      <c r="A526" s="7"/>
      <c r="B526" s="7"/>
      <c r="C526" s="21"/>
      <c r="D526" s="36"/>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5" x14ac:dyDescent="0.45">
      <c r="A527" s="7"/>
      <c r="B527" s="7"/>
      <c r="C527" s="21"/>
      <c r="D527" s="36"/>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5" x14ac:dyDescent="0.45">
      <c r="A528" s="7"/>
      <c r="B528" s="7"/>
      <c r="C528" s="21"/>
      <c r="D528" s="36"/>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5" x14ac:dyDescent="0.45">
      <c r="A529" s="7"/>
      <c r="B529" s="7"/>
      <c r="C529" s="21"/>
      <c r="D529" s="36"/>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5" x14ac:dyDescent="0.45">
      <c r="A530" s="7"/>
      <c r="B530" s="7"/>
      <c r="C530" s="21"/>
      <c r="D530" s="36"/>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5" x14ac:dyDescent="0.45">
      <c r="A531" s="7"/>
      <c r="B531" s="7"/>
      <c r="C531" s="21"/>
      <c r="D531" s="36"/>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5" x14ac:dyDescent="0.45">
      <c r="A532" s="7"/>
      <c r="B532" s="7"/>
      <c r="C532" s="21"/>
      <c r="D532" s="36"/>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5" x14ac:dyDescent="0.45">
      <c r="A533" s="7"/>
      <c r="B533" s="7"/>
      <c r="C533" s="21"/>
      <c r="D533" s="36"/>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5" x14ac:dyDescent="0.45">
      <c r="A534" s="7"/>
      <c r="B534" s="7"/>
      <c r="C534" s="21"/>
      <c r="D534" s="36"/>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5" x14ac:dyDescent="0.45">
      <c r="A535" s="7"/>
      <c r="B535" s="7"/>
      <c r="C535" s="21"/>
      <c r="D535" s="36"/>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5" x14ac:dyDescent="0.45">
      <c r="A536" s="7"/>
      <c r="B536" s="7"/>
      <c r="C536" s="21"/>
      <c r="D536" s="36"/>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5" x14ac:dyDescent="0.45">
      <c r="A537" s="7"/>
      <c r="B537" s="7"/>
      <c r="C537" s="21"/>
      <c r="D537" s="36"/>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5" x14ac:dyDescent="0.45">
      <c r="A538" s="7"/>
      <c r="B538" s="7"/>
      <c r="C538" s="21"/>
      <c r="D538" s="36"/>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5" x14ac:dyDescent="0.45">
      <c r="A539" s="7"/>
      <c r="B539" s="7"/>
      <c r="C539" s="21"/>
      <c r="D539" s="36"/>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5" x14ac:dyDescent="0.45">
      <c r="A540" s="7"/>
      <c r="B540" s="7"/>
      <c r="C540" s="21"/>
      <c r="D540" s="36"/>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5" x14ac:dyDescent="0.45">
      <c r="A541" s="7"/>
      <c r="B541" s="7"/>
      <c r="C541" s="21"/>
      <c r="D541" s="36"/>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5" x14ac:dyDescent="0.45">
      <c r="A542" s="7"/>
      <c r="B542" s="7"/>
      <c r="C542" s="21"/>
      <c r="D542" s="36"/>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5" x14ac:dyDescent="0.45">
      <c r="A543" s="7"/>
      <c r="B543" s="7"/>
      <c r="C543" s="21"/>
      <c r="D543" s="36"/>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5" x14ac:dyDescent="0.45">
      <c r="A544" s="7"/>
      <c r="B544" s="7"/>
      <c r="C544" s="21"/>
      <c r="D544" s="36"/>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5" x14ac:dyDescent="0.45">
      <c r="A545" s="7"/>
      <c r="B545" s="7"/>
      <c r="C545" s="21"/>
      <c r="D545" s="36"/>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5" x14ac:dyDescent="0.45">
      <c r="A546" s="7"/>
      <c r="B546" s="7"/>
      <c r="C546" s="21"/>
      <c r="D546" s="36"/>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5" x14ac:dyDescent="0.45">
      <c r="A547" s="7"/>
      <c r="B547" s="7"/>
      <c r="C547" s="21"/>
      <c r="D547" s="36"/>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5" x14ac:dyDescent="0.45">
      <c r="A548" s="7"/>
      <c r="B548" s="7"/>
      <c r="C548" s="21"/>
      <c r="D548" s="36"/>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5" x14ac:dyDescent="0.45">
      <c r="A549" s="7"/>
      <c r="B549" s="7"/>
      <c r="C549" s="21"/>
      <c r="D549" s="36"/>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5" x14ac:dyDescent="0.45">
      <c r="A550" s="7"/>
      <c r="B550" s="7"/>
      <c r="C550" s="21"/>
      <c r="D550" s="36"/>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5" x14ac:dyDescent="0.45">
      <c r="A551" s="7"/>
      <c r="B551" s="7"/>
      <c r="C551" s="21"/>
      <c r="D551" s="36"/>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5" x14ac:dyDescent="0.45">
      <c r="A552" s="7"/>
      <c r="B552" s="7"/>
      <c r="C552" s="21"/>
      <c r="D552" s="36"/>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5" x14ac:dyDescent="0.45">
      <c r="A553" s="7"/>
      <c r="B553" s="7"/>
      <c r="C553" s="21"/>
      <c r="D553" s="36"/>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5" x14ac:dyDescent="0.45">
      <c r="A554" s="7"/>
      <c r="B554" s="7"/>
      <c r="C554" s="21"/>
      <c r="D554" s="36"/>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5" x14ac:dyDescent="0.45">
      <c r="A555" s="7"/>
      <c r="B555" s="7"/>
      <c r="C555" s="21"/>
      <c r="D555" s="36"/>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5" x14ac:dyDescent="0.45">
      <c r="A556" s="7"/>
      <c r="B556" s="7"/>
      <c r="C556" s="21"/>
      <c r="D556" s="36"/>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5" x14ac:dyDescent="0.45">
      <c r="A557" s="7"/>
      <c r="B557" s="7"/>
      <c r="C557" s="21"/>
      <c r="D557" s="36"/>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5" x14ac:dyDescent="0.45">
      <c r="A558" s="7"/>
      <c r="B558" s="7"/>
      <c r="C558" s="21"/>
      <c r="D558" s="36"/>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5" x14ac:dyDescent="0.45">
      <c r="A559" s="7"/>
      <c r="B559" s="7"/>
      <c r="C559" s="21"/>
      <c r="D559" s="36"/>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5" x14ac:dyDescent="0.45">
      <c r="A560" s="7"/>
      <c r="B560" s="7"/>
      <c r="C560" s="21"/>
      <c r="D560" s="36"/>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5" x14ac:dyDescent="0.45">
      <c r="A561" s="7"/>
      <c r="B561" s="7"/>
      <c r="C561" s="21"/>
      <c r="D561" s="36"/>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5" x14ac:dyDescent="0.45">
      <c r="A562" s="7"/>
      <c r="B562" s="7"/>
      <c r="C562" s="21"/>
      <c r="D562" s="36"/>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5" x14ac:dyDescent="0.45">
      <c r="A563" s="7"/>
      <c r="B563" s="7"/>
      <c r="C563" s="21"/>
      <c r="D563" s="36"/>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5" x14ac:dyDescent="0.45">
      <c r="A564" s="7"/>
      <c r="B564" s="7"/>
      <c r="C564" s="21"/>
      <c r="D564" s="36"/>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5" x14ac:dyDescent="0.45">
      <c r="A565" s="7"/>
      <c r="B565" s="7"/>
      <c r="C565" s="21"/>
      <c r="D565" s="36"/>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5" x14ac:dyDescent="0.45">
      <c r="A566" s="7"/>
      <c r="B566" s="7"/>
      <c r="C566" s="21"/>
      <c r="D566" s="36"/>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5" x14ac:dyDescent="0.45">
      <c r="A567" s="7"/>
      <c r="B567" s="7"/>
      <c r="C567" s="21"/>
      <c r="D567" s="36"/>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5" x14ac:dyDescent="0.45">
      <c r="A568" s="7"/>
      <c r="B568" s="7"/>
      <c r="C568" s="21"/>
      <c r="D568" s="36"/>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5" x14ac:dyDescent="0.45">
      <c r="A569" s="7"/>
      <c r="B569" s="7"/>
      <c r="C569" s="21"/>
      <c r="D569" s="36"/>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5" x14ac:dyDescent="0.45">
      <c r="A570" s="7"/>
      <c r="B570" s="7"/>
      <c r="C570" s="21"/>
      <c r="D570" s="36"/>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5" x14ac:dyDescent="0.45">
      <c r="A571" s="7"/>
      <c r="B571" s="7"/>
      <c r="C571" s="21"/>
      <c r="D571" s="36"/>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5" x14ac:dyDescent="0.45">
      <c r="A572" s="7"/>
      <c r="B572" s="7"/>
      <c r="C572" s="21"/>
      <c r="D572" s="36"/>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5" x14ac:dyDescent="0.45">
      <c r="A573" s="7"/>
      <c r="B573" s="7"/>
      <c r="C573" s="21"/>
      <c r="D573" s="36"/>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5" x14ac:dyDescent="0.45">
      <c r="A574" s="7"/>
      <c r="B574" s="7"/>
      <c r="C574" s="21"/>
      <c r="D574" s="36"/>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5" x14ac:dyDescent="0.45">
      <c r="A575" s="7"/>
      <c r="B575" s="7"/>
      <c r="C575" s="21"/>
      <c r="D575" s="36"/>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5" x14ac:dyDescent="0.45">
      <c r="A576" s="7"/>
      <c r="B576" s="7"/>
      <c r="C576" s="21"/>
      <c r="D576" s="36"/>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5" x14ac:dyDescent="0.45">
      <c r="A577" s="7"/>
      <c r="B577" s="7"/>
      <c r="C577" s="21"/>
      <c r="D577" s="36"/>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5" x14ac:dyDescent="0.45">
      <c r="A578" s="7"/>
      <c r="B578" s="7"/>
      <c r="C578" s="21"/>
      <c r="D578" s="36"/>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5" x14ac:dyDescent="0.45">
      <c r="A579" s="7"/>
      <c r="B579" s="7"/>
      <c r="C579" s="21"/>
      <c r="D579" s="36"/>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5" x14ac:dyDescent="0.45">
      <c r="A580" s="7"/>
      <c r="B580" s="7"/>
      <c r="C580" s="21"/>
      <c r="D580" s="36"/>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5" x14ac:dyDescent="0.45">
      <c r="A581" s="7"/>
      <c r="B581" s="7"/>
      <c r="C581" s="21"/>
      <c r="D581" s="36"/>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5" x14ac:dyDescent="0.45">
      <c r="A582" s="7"/>
      <c r="B582" s="7"/>
      <c r="C582" s="21"/>
      <c r="D582" s="36"/>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5" x14ac:dyDescent="0.45">
      <c r="A583" s="7"/>
      <c r="B583" s="7"/>
      <c r="C583" s="21"/>
      <c r="D583" s="36"/>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5" x14ac:dyDescent="0.45">
      <c r="A584" s="7"/>
      <c r="B584" s="7"/>
      <c r="C584" s="21"/>
      <c r="D584" s="36"/>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5" x14ac:dyDescent="0.45">
      <c r="A585" s="7"/>
      <c r="B585" s="7"/>
      <c r="C585" s="21"/>
      <c r="D585" s="36"/>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5" x14ac:dyDescent="0.45">
      <c r="A586" s="7"/>
      <c r="B586" s="7"/>
      <c r="C586" s="21"/>
      <c r="D586" s="36"/>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5" x14ac:dyDescent="0.45">
      <c r="A587" s="7"/>
      <c r="B587" s="7"/>
      <c r="C587" s="21"/>
      <c r="D587" s="36"/>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5" x14ac:dyDescent="0.45">
      <c r="A588" s="7"/>
      <c r="B588" s="7"/>
      <c r="C588" s="21"/>
      <c r="D588" s="36"/>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5" x14ac:dyDescent="0.45">
      <c r="A589" s="7"/>
      <c r="B589" s="7"/>
      <c r="C589" s="21"/>
      <c r="D589" s="36"/>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5" x14ac:dyDescent="0.45">
      <c r="A590" s="7"/>
      <c r="B590" s="7"/>
      <c r="C590" s="21"/>
      <c r="D590" s="36"/>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5" x14ac:dyDescent="0.45">
      <c r="A591" s="7"/>
      <c r="B591" s="7"/>
      <c r="C591" s="21"/>
      <c r="D591" s="36"/>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5" x14ac:dyDescent="0.45">
      <c r="A592" s="7"/>
      <c r="B592" s="7"/>
      <c r="C592" s="21"/>
      <c r="D592" s="36"/>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5" x14ac:dyDescent="0.45">
      <c r="A593" s="7"/>
      <c r="B593" s="7"/>
      <c r="C593" s="21"/>
      <c r="D593" s="36"/>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5" x14ac:dyDescent="0.45">
      <c r="A594" s="7"/>
      <c r="B594" s="7"/>
      <c r="C594" s="21"/>
      <c r="D594" s="36"/>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5" x14ac:dyDescent="0.45">
      <c r="A595" s="7"/>
      <c r="B595" s="7"/>
      <c r="C595" s="21"/>
      <c r="D595" s="36"/>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5" x14ac:dyDescent="0.45">
      <c r="A596" s="7"/>
      <c r="B596" s="7"/>
      <c r="C596" s="21"/>
      <c r="D596" s="36"/>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5" x14ac:dyDescent="0.45">
      <c r="A597" s="7"/>
      <c r="B597" s="7"/>
      <c r="C597" s="21"/>
      <c r="D597" s="36"/>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5" x14ac:dyDescent="0.45">
      <c r="A598" s="7"/>
      <c r="B598" s="7"/>
      <c r="C598" s="21"/>
      <c r="D598" s="36"/>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5" x14ac:dyDescent="0.45">
      <c r="A599" s="7"/>
      <c r="B599" s="7"/>
      <c r="C599" s="21"/>
      <c r="D599" s="36"/>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5" x14ac:dyDescent="0.45">
      <c r="A600" s="7"/>
      <c r="B600" s="7"/>
      <c r="C600" s="21"/>
      <c r="D600" s="36"/>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5" x14ac:dyDescent="0.45">
      <c r="A601" s="7"/>
      <c r="B601" s="7"/>
      <c r="C601" s="21"/>
      <c r="D601" s="36"/>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5" x14ac:dyDescent="0.45">
      <c r="A602" s="7"/>
      <c r="B602" s="7"/>
      <c r="C602" s="21"/>
      <c r="D602" s="36"/>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5" x14ac:dyDescent="0.45">
      <c r="A603" s="7"/>
      <c r="B603" s="7"/>
      <c r="C603" s="21"/>
      <c r="D603" s="36"/>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5" x14ac:dyDescent="0.45">
      <c r="A604" s="7"/>
      <c r="B604" s="7"/>
      <c r="C604" s="21"/>
      <c r="D604" s="36"/>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5" x14ac:dyDescent="0.45">
      <c r="A605" s="7"/>
      <c r="B605" s="7"/>
      <c r="C605" s="21"/>
      <c r="D605" s="36"/>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5" x14ac:dyDescent="0.45">
      <c r="A606" s="7"/>
      <c r="B606" s="7"/>
      <c r="C606" s="21"/>
      <c r="D606" s="36"/>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5" x14ac:dyDescent="0.45">
      <c r="A607" s="7"/>
      <c r="B607" s="7"/>
      <c r="C607" s="21"/>
      <c r="D607" s="36"/>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5" x14ac:dyDescent="0.45">
      <c r="A608" s="7"/>
      <c r="B608" s="7"/>
      <c r="C608" s="21"/>
      <c r="D608" s="36"/>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5" x14ac:dyDescent="0.45">
      <c r="A609" s="7"/>
      <c r="B609" s="7"/>
      <c r="C609" s="21"/>
      <c r="D609" s="36"/>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5" x14ac:dyDescent="0.45">
      <c r="A610" s="7"/>
      <c r="B610" s="7"/>
      <c r="C610" s="21"/>
      <c r="D610" s="36"/>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5" x14ac:dyDescent="0.45">
      <c r="A611" s="7"/>
      <c r="B611" s="7"/>
      <c r="C611" s="21"/>
      <c r="D611" s="36"/>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5" x14ac:dyDescent="0.45">
      <c r="A612" s="7"/>
      <c r="B612" s="7"/>
      <c r="C612" s="21"/>
      <c r="D612" s="36"/>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5" x14ac:dyDescent="0.45">
      <c r="A613" s="7"/>
      <c r="B613" s="7"/>
      <c r="C613" s="21"/>
      <c r="D613" s="36"/>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5" x14ac:dyDescent="0.45">
      <c r="A614" s="7"/>
      <c r="B614" s="7"/>
      <c r="C614" s="21"/>
      <c r="D614" s="36"/>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5" x14ac:dyDescent="0.45">
      <c r="A615" s="7"/>
      <c r="B615" s="7"/>
      <c r="C615" s="21"/>
      <c r="D615" s="36"/>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5" x14ac:dyDescent="0.45">
      <c r="A616" s="7"/>
      <c r="B616" s="7"/>
      <c r="C616" s="21"/>
      <c r="D616" s="36"/>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5" x14ac:dyDescent="0.45">
      <c r="A617" s="7"/>
      <c r="B617" s="7"/>
      <c r="C617" s="21"/>
      <c r="D617" s="36"/>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5" x14ac:dyDescent="0.45">
      <c r="A618" s="7"/>
      <c r="B618" s="7"/>
      <c r="C618" s="21"/>
      <c r="D618" s="36"/>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5" x14ac:dyDescent="0.45">
      <c r="A619" s="7"/>
      <c r="B619" s="7"/>
      <c r="C619" s="21"/>
      <c r="D619" s="36"/>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5" x14ac:dyDescent="0.45">
      <c r="A620" s="7"/>
      <c r="B620" s="7"/>
      <c r="C620" s="21"/>
      <c r="D620" s="36"/>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5" x14ac:dyDescent="0.45">
      <c r="A621" s="7"/>
      <c r="B621" s="7"/>
      <c r="C621" s="21"/>
      <c r="D621" s="36"/>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5" x14ac:dyDescent="0.45">
      <c r="A622" s="7"/>
      <c r="B622" s="7"/>
      <c r="C622" s="21"/>
      <c r="D622" s="36"/>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5" x14ac:dyDescent="0.45">
      <c r="A623" s="7"/>
      <c r="B623" s="7"/>
      <c r="C623" s="21"/>
      <c r="D623" s="36"/>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5" x14ac:dyDescent="0.45">
      <c r="A624" s="7"/>
      <c r="B624" s="7"/>
      <c r="C624" s="21"/>
      <c r="D624" s="36"/>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5" x14ac:dyDescent="0.45">
      <c r="A625" s="7"/>
      <c r="B625" s="7"/>
      <c r="C625" s="21"/>
      <c r="D625" s="36"/>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5" x14ac:dyDescent="0.45">
      <c r="A626" s="7"/>
      <c r="B626" s="7"/>
      <c r="C626" s="21"/>
      <c r="D626" s="36"/>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5" x14ac:dyDescent="0.45">
      <c r="A627" s="7"/>
      <c r="B627" s="7"/>
      <c r="C627" s="21"/>
      <c r="D627" s="36"/>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5" x14ac:dyDescent="0.45">
      <c r="A628" s="7"/>
      <c r="B628" s="7"/>
      <c r="C628" s="21"/>
      <c r="D628" s="36"/>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5" x14ac:dyDescent="0.45">
      <c r="A629" s="7"/>
      <c r="B629" s="7"/>
      <c r="C629" s="21"/>
      <c r="D629" s="36"/>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5" x14ac:dyDescent="0.45">
      <c r="A630" s="7"/>
      <c r="B630" s="7"/>
      <c r="C630" s="21"/>
      <c r="D630" s="36"/>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5" x14ac:dyDescent="0.45">
      <c r="A631" s="7"/>
      <c r="B631" s="7"/>
      <c r="C631" s="21"/>
      <c r="D631" s="36"/>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5" x14ac:dyDescent="0.45">
      <c r="A632" s="7"/>
      <c r="B632" s="7"/>
      <c r="C632" s="21"/>
      <c r="D632" s="36"/>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5" x14ac:dyDescent="0.45">
      <c r="A633" s="7"/>
      <c r="B633" s="7"/>
      <c r="C633" s="21"/>
      <c r="D633" s="36"/>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5" x14ac:dyDescent="0.45">
      <c r="A634" s="7"/>
      <c r="B634" s="7"/>
      <c r="C634" s="21"/>
      <c r="D634" s="36"/>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5" x14ac:dyDescent="0.45">
      <c r="A635" s="7"/>
      <c r="B635" s="7"/>
      <c r="C635" s="21"/>
      <c r="D635" s="36"/>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5" x14ac:dyDescent="0.45">
      <c r="A636" s="7"/>
      <c r="B636" s="7"/>
      <c r="C636" s="21"/>
      <c r="D636" s="36"/>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5" x14ac:dyDescent="0.45">
      <c r="A637" s="7"/>
      <c r="B637" s="7"/>
      <c r="C637" s="21"/>
      <c r="D637" s="36"/>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5" x14ac:dyDescent="0.45">
      <c r="A638" s="7"/>
      <c r="B638" s="7"/>
      <c r="C638" s="21"/>
      <c r="D638" s="36"/>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5" x14ac:dyDescent="0.45">
      <c r="A639" s="7"/>
      <c r="B639" s="7"/>
      <c r="C639" s="21"/>
      <c r="D639" s="36"/>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5" x14ac:dyDescent="0.45">
      <c r="A640" s="7"/>
      <c r="B640" s="7"/>
      <c r="C640" s="21"/>
      <c r="D640" s="36"/>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5" x14ac:dyDescent="0.45">
      <c r="A641" s="7"/>
      <c r="B641" s="7"/>
      <c r="C641" s="21"/>
      <c r="D641" s="36"/>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5" x14ac:dyDescent="0.45">
      <c r="A642" s="7"/>
      <c r="B642" s="7"/>
      <c r="C642" s="21"/>
      <c r="D642" s="36"/>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5" x14ac:dyDescent="0.45">
      <c r="A643" s="7"/>
      <c r="B643" s="7"/>
      <c r="C643" s="21"/>
      <c r="D643" s="36"/>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5" x14ac:dyDescent="0.45">
      <c r="A644" s="7"/>
      <c r="B644" s="7"/>
      <c r="C644" s="21"/>
      <c r="D644" s="36"/>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5" x14ac:dyDescent="0.45">
      <c r="A645" s="7"/>
      <c r="B645" s="7"/>
      <c r="C645" s="21"/>
      <c r="D645" s="36"/>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5" x14ac:dyDescent="0.45">
      <c r="A646" s="7"/>
      <c r="B646" s="7"/>
      <c r="C646" s="21"/>
      <c r="D646" s="36"/>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5" x14ac:dyDescent="0.45">
      <c r="A647" s="7"/>
      <c r="B647" s="7"/>
      <c r="C647" s="21"/>
      <c r="D647" s="36"/>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5" x14ac:dyDescent="0.45">
      <c r="A648" s="7"/>
      <c r="B648" s="7"/>
      <c r="C648" s="21"/>
      <c r="D648" s="36"/>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5" x14ac:dyDescent="0.45">
      <c r="A649" s="7"/>
      <c r="B649" s="7"/>
      <c r="C649" s="21"/>
      <c r="D649" s="36"/>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5" x14ac:dyDescent="0.45">
      <c r="A650" s="7"/>
      <c r="B650" s="7"/>
      <c r="C650" s="21"/>
      <c r="D650" s="36"/>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5" x14ac:dyDescent="0.45">
      <c r="A651" s="7"/>
      <c r="B651" s="7"/>
      <c r="C651" s="21"/>
      <c r="D651" s="36"/>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5" x14ac:dyDescent="0.45">
      <c r="A652" s="7"/>
      <c r="B652" s="7"/>
      <c r="C652" s="21"/>
      <c r="D652" s="36"/>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5" x14ac:dyDescent="0.45">
      <c r="A653" s="7"/>
      <c r="B653" s="7"/>
      <c r="C653" s="21"/>
      <c r="D653" s="36"/>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5" x14ac:dyDescent="0.45">
      <c r="A654" s="7"/>
      <c r="B654" s="7"/>
      <c r="C654" s="21"/>
      <c r="D654" s="36"/>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5" x14ac:dyDescent="0.45">
      <c r="A655" s="7"/>
      <c r="B655" s="7"/>
      <c r="C655" s="21"/>
      <c r="D655" s="36"/>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5" x14ac:dyDescent="0.45">
      <c r="A656" s="7"/>
      <c r="B656" s="7"/>
      <c r="C656" s="21"/>
      <c r="D656" s="36"/>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5" x14ac:dyDescent="0.45">
      <c r="A657" s="7"/>
      <c r="B657" s="7"/>
      <c r="C657" s="21"/>
      <c r="D657" s="36"/>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5" x14ac:dyDescent="0.45">
      <c r="A658" s="7"/>
      <c r="B658" s="7"/>
      <c r="C658" s="21"/>
      <c r="D658" s="36"/>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5" x14ac:dyDescent="0.45">
      <c r="A659" s="7"/>
      <c r="B659" s="7"/>
      <c r="C659" s="21"/>
      <c r="D659" s="36"/>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5" x14ac:dyDescent="0.45">
      <c r="A660" s="7"/>
      <c r="B660" s="7"/>
      <c r="C660" s="21"/>
      <c r="D660" s="36"/>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5" x14ac:dyDescent="0.45">
      <c r="A661" s="7"/>
      <c r="B661" s="7"/>
      <c r="C661" s="21"/>
      <c r="D661" s="36"/>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5" x14ac:dyDescent="0.45">
      <c r="A662" s="7"/>
      <c r="B662" s="7"/>
      <c r="C662" s="21"/>
      <c r="D662" s="36"/>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5" x14ac:dyDescent="0.45">
      <c r="A663" s="7"/>
      <c r="B663" s="7"/>
      <c r="C663" s="21"/>
      <c r="D663" s="36"/>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5" x14ac:dyDescent="0.45">
      <c r="A664" s="7"/>
      <c r="B664" s="7"/>
      <c r="C664" s="21"/>
      <c r="D664" s="36"/>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5" x14ac:dyDescent="0.45">
      <c r="A665" s="7"/>
      <c r="B665" s="7"/>
      <c r="C665" s="21"/>
      <c r="D665" s="36"/>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5" x14ac:dyDescent="0.45">
      <c r="A666" s="7"/>
      <c r="B666" s="7"/>
      <c r="C666" s="21"/>
      <c r="D666" s="36"/>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5" x14ac:dyDescent="0.45">
      <c r="A667" s="7"/>
      <c r="B667" s="7"/>
      <c r="C667" s="21"/>
      <c r="D667" s="36"/>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5" x14ac:dyDescent="0.45">
      <c r="A668" s="7"/>
      <c r="B668" s="7"/>
      <c r="C668" s="21"/>
      <c r="D668" s="36"/>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5" x14ac:dyDescent="0.45">
      <c r="A669" s="7"/>
      <c r="B669" s="7"/>
      <c r="C669" s="21"/>
      <c r="D669" s="36"/>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5" x14ac:dyDescent="0.45">
      <c r="A670" s="7"/>
      <c r="B670" s="7"/>
      <c r="C670" s="21"/>
      <c r="D670" s="36"/>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5" x14ac:dyDescent="0.45">
      <c r="A671" s="7"/>
      <c r="B671" s="7"/>
      <c r="C671" s="21"/>
      <c r="D671" s="36"/>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5" x14ac:dyDescent="0.45">
      <c r="A672" s="7"/>
      <c r="B672" s="7"/>
      <c r="C672" s="21"/>
      <c r="D672" s="36"/>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5" x14ac:dyDescent="0.45">
      <c r="A673" s="7"/>
      <c r="B673" s="7"/>
      <c r="C673" s="21"/>
      <c r="D673" s="36"/>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5" x14ac:dyDescent="0.45">
      <c r="A674" s="7"/>
      <c r="B674" s="7"/>
      <c r="C674" s="21"/>
      <c r="D674" s="36"/>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5" x14ac:dyDescent="0.45">
      <c r="A675" s="7"/>
      <c r="B675" s="7"/>
      <c r="C675" s="21"/>
      <c r="D675" s="36"/>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5" x14ac:dyDescent="0.45">
      <c r="A676" s="7"/>
      <c r="B676" s="7"/>
      <c r="C676" s="21"/>
      <c r="D676" s="36"/>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5" x14ac:dyDescent="0.45">
      <c r="A677" s="7"/>
      <c r="B677" s="7"/>
      <c r="C677" s="21"/>
      <c r="D677" s="36"/>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5" x14ac:dyDescent="0.45">
      <c r="A678" s="7"/>
      <c r="B678" s="7"/>
      <c r="C678" s="21"/>
      <c r="D678" s="36"/>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5" x14ac:dyDescent="0.45">
      <c r="A679" s="7"/>
      <c r="B679" s="7"/>
      <c r="C679" s="21"/>
      <c r="D679" s="36"/>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5" x14ac:dyDescent="0.45">
      <c r="A680" s="7"/>
      <c r="B680" s="7"/>
      <c r="C680" s="21"/>
      <c r="D680" s="36"/>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5" x14ac:dyDescent="0.45">
      <c r="A681" s="7"/>
      <c r="B681" s="7"/>
      <c r="C681" s="21"/>
      <c r="D681" s="36"/>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5" x14ac:dyDescent="0.45">
      <c r="A682" s="7"/>
      <c r="B682" s="7"/>
      <c r="C682" s="21"/>
      <c r="D682" s="36"/>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5" x14ac:dyDescent="0.45">
      <c r="A683" s="7"/>
      <c r="B683" s="7"/>
      <c r="C683" s="21"/>
      <c r="D683" s="36"/>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5" x14ac:dyDescent="0.45">
      <c r="A684" s="7"/>
      <c r="B684" s="7"/>
      <c r="C684" s="21"/>
      <c r="D684" s="36"/>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5" x14ac:dyDescent="0.45">
      <c r="A685" s="7"/>
      <c r="B685" s="7"/>
      <c r="C685" s="21"/>
      <c r="D685" s="36"/>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5" x14ac:dyDescent="0.45">
      <c r="A686" s="7"/>
      <c r="B686" s="7"/>
      <c r="C686" s="21"/>
      <c r="D686" s="36"/>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5" x14ac:dyDescent="0.45">
      <c r="A687" s="7"/>
      <c r="B687" s="7"/>
      <c r="C687" s="21"/>
      <c r="D687" s="36"/>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5" x14ac:dyDescent="0.45">
      <c r="A688" s="7"/>
      <c r="B688" s="7"/>
      <c r="C688" s="21"/>
      <c r="D688" s="36"/>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5" x14ac:dyDescent="0.45">
      <c r="A689" s="7"/>
      <c r="B689" s="7"/>
      <c r="C689" s="21"/>
      <c r="D689" s="36"/>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5" x14ac:dyDescent="0.45">
      <c r="A690" s="7"/>
      <c r="B690" s="7"/>
      <c r="C690" s="21"/>
      <c r="D690" s="36"/>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5" x14ac:dyDescent="0.45">
      <c r="A691" s="7"/>
      <c r="B691" s="7"/>
      <c r="C691" s="21"/>
      <c r="D691" s="36"/>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5" x14ac:dyDescent="0.45">
      <c r="A692" s="7"/>
      <c r="B692" s="7"/>
      <c r="C692" s="21"/>
      <c r="D692" s="36"/>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5" x14ac:dyDescent="0.45">
      <c r="A693" s="7"/>
      <c r="B693" s="7"/>
      <c r="C693" s="21"/>
      <c r="D693" s="36"/>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5" x14ac:dyDescent="0.45">
      <c r="A694" s="7"/>
      <c r="B694" s="7"/>
      <c r="C694" s="21"/>
      <c r="D694" s="36"/>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5" x14ac:dyDescent="0.45">
      <c r="A695" s="7"/>
      <c r="B695" s="7"/>
      <c r="C695" s="21"/>
      <c r="D695" s="36"/>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5" x14ac:dyDescent="0.45">
      <c r="A696" s="7"/>
      <c r="B696" s="7"/>
      <c r="C696" s="21"/>
      <c r="D696" s="36"/>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5" x14ac:dyDescent="0.45">
      <c r="A697" s="7"/>
      <c r="B697" s="7"/>
      <c r="C697" s="21"/>
      <c r="D697" s="36"/>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5" x14ac:dyDescent="0.45">
      <c r="A698" s="7"/>
      <c r="B698" s="7"/>
      <c r="C698" s="21"/>
      <c r="D698" s="36"/>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5" x14ac:dyDescent="0.45">
      <c r="A699" s="7"/>
      <c r="B699" s="7"/>
      <c r="C699" s="21"/>
      <c r="D699" s="36"/>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5" x14ac:dyDescent="0.45">
      <c r="A700" s="7"/>
      <c r="B700" s="7"/>
      <c r="C700" s="21"/>
      <c r="D700" s="36"/>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5" x14ac:dyDescent="0.45">
      <c r="A701" s="7"/>
      <c r="B701" s="7"/>
      <c r="C701" s="21"/>
      <c r="D701" s="36"/>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5" x14ac:dyDescent="0.45">
      <c r="A702" s="7"/>
      <c r="B702" s="7"/>
      <c r="C702" s="21"/>
      <c r="D702" s="36"/>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5" x14ac:dyDescent="0.45">
      <c r="A703" s="7"/>
      <c r="B703" s="7"/>
      <c r="C703" s="21"/>
      <c r="D703" s="36"/>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5" x14ac:dyDescent="0.45">
      <c r="A704" s="7"/>
      <c r="B704" s="7"/>
      <c r="C704" s="21"/>
      <c r="D704" s="36"/>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5" x14ac:dyDescent="0.45">
      <c r="A705" s="7"/>
      <c r="B705" s="7"/>
      <c r="C705" s="21"/>
      <c r="D705" s="36"/>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5" x14ac:dyDescent="0.45">
      <c r="A706" s="7"/>
      <c r="B706" s="7"/>
      <c r="C706" s="21"/>
      <c r="D706" s="36"/>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5" x14ac:dyDescent="0.45">
      <c r="A707" s="7"/>
      <c r="B707" s="7"/>
      <c r="C707" s="21"/>
      <c r="D707" s="36"/>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5" x14ac:dyDescent="0.45">
      <c r="A708" s="7"/>
      <c r="B708" s="7"/>
      <c r="C708" s="21"/>
      <c r="D708" s="36"/>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5" x14ac:dyDescent="0.45">
      <c r="A709" s="7"/>
      <c r="B709" s="7"/>
      <c r="C709" s="21"/>
      <c r="D709" s="36"/>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5" x14ac:dyDescent="0.45">
      <c r="A710" s="7"/>
      <c r="B710" s="7"/>
      <c r="C710" s="21"/>
      <c r="D710" s="36"/>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5" x14ac:dyDescent="0.45">
      <c r="A711" s="7"/>
      <c r="B711" s="7"/>
      <c r="C711" s="21"/>
      <c r="D711" s="36"/>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5" x14ac:dyDescent="0.45">
      <c r="A712" s="7"/>
      <c r="B712" s="7"/>
      <c r="C712" s="21"/>
      <c r="D712" s="36"/>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5" x14ac:dyDescent="0.45">
      <c r="A713" s="7"/>
      <c r="B713" s="7"/>
      <c r="C713" s="21"/>
      <c r="D713" s="36"/>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5" x14ac:dyDescent="0.45">
      <c r="A714" s="7"/>
      <c r="B714" s="7"/>
      <c r="C714" s="21"/>
      <c r="D714" s="36"/>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5" x14ac:dyDescent="0.45">
      <c r="A715" s="7"/>
      <c r="B715" s="7"/>
      <c r="C715" s="21"/>
      <c r="D715" s="36"/>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5" x14ac:dyDescent="0.45">
      <c r="A716" s="7"/>
      <c r="B716" s="7"/>
      <c r="C716" s="21"/>
      <c r="D716" s="36"/>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5" x14ac:dyDescent="0.45">
      <c r="A717" s="7"/>
      <c r="B717" s="7"/>
      <c r="C717" s="21"/>
      <c r="D717" s="36"/>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5" x14ac:dyDescent="0.45">
      <c r="A718" s="7"/>
      <c r="B718" s="7"/>
      <c r="C718" s="21"/>
      <c r="D718" s="36"/>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5" x14ac:dyDescent="0.45">
      <c r="A719" s="7"/>
      <c r="B719" s="7"/>
      <c r="C719" s="21"/>
      <c r="D719" s="36"/>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5" x14ac:dyDescent="0.45">
      <c r="A720" s="7"/>
      <c r="B720" s="7"/>
      <c r="C720" s="21"/>
      <c r="D720" s="36"/>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5" x14ac:dyDescent="0.45">
      <c r="A721" s="7"/>
      <c r="B721" s="7"/>
      <c r="C721" s="21"/>
      <c r="D721" s="36"/>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5" x14ac:dyDescent="0.45">
      <c r="A722" s="7"/>
      <c r="B722" s="7"/>
      <c r="C722" s="21"/>
      <c r="D722" s="36"/>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5" x14ac:dyDescent="0.45">
      <c r="A723" s="7"/>
      <c r="B723" s="7"/>
      <c r="C723" s="21"/>
      <c r="D723" s="36"/>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5" x14ac:dyDescent="0.45">
      <c r="A724" s="7"/>
      <c r="B724" s="7"/>
      <c r="C724" s="21"/>
      <c r="D724" s="36"/>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5" x14ac:dyDescent="0.45">
      <c r="A725" s="7"/>
      <c r="B725" s="7"/>
      <c r="C725" s="21"/>
      <c r="D725" s="36"/>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5" x14ac:dyDescent="0.45">
      <c r="A726" s="7"/>
      <c r="B726" s="7"/>
      <c r="C726" s="21"/>
      <c r="D726" s="36"/>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5" x14ac:dyDescent="0.45">
      <c r="A727" s="7"/>
      <c r="B727" s="7"/>
      <c r="C727" s="21"/>
      <c r="D727" s="36"/>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5" x14ac:dyDescent="0.45">
      <c r="A728" s="7"/>
      <c r="B728" s="7"/>
      <c r="C728" s="21"/>
      <c r="D728" s="36"/>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5" x14ac:dyDescent="0.45">
      <c r="A729" s="7"/>
      <c r="B729" s="7"/>
      <c r="C729" s="21"/>
      <c r="D729" s="36"/>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5" x14ac:dyDescent="0.45">
      <c r="A730" s="7"/>
      <c r="B730" s="7"/>
      <c r="C730" s="21"/>
      <c r="D730" s="36"/>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5" x14ac:dyDescent="0.45">
      <c r="A731" s="7"/>
      <c r="B731" s="7"/>
      <c r="C731" s="21"/>
      <c r="D731" s="36"/>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5" x14ac:dyDescent="0.45">
      <c r="A732" s="7"/>
      <c r="B732" s="7"/>
      <c r="C732" s="21"/>
      <c r="D732" s="36"/>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5" x14ac:dyDescent="0.45">
      <c r="A733" s="7"/>
      <c r="B733" s="7"/>
      <c r="C733" s="21"/>
      <c r="D733" s="36"/>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5" x14ac:dyDescent="0.45">
      <c r="A734" s="7"/>
      <c r="B734" s="7"/>
      <c r="C734" s="21"/>
      <c r="D734" s="36"/>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5" x14ac:dyDescent="0.45">
      <c r="A735" s="7"/>
      <c r="B735" s="7"/>
      <c r="C735" s="21"/>
      <c r="D735" s="36"/>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5" x14ac:dyDescent="0.45">
      <c r="A736" s="7"/>
      <c r="B736" s="7"/>
      <c r="C736" s="21"/>
      <c r="D736" s="36"/>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5" x14ac:dyDescent="0.45">
      <c r="A737" s="7"/>
      <c r="B737" s="7"/>
      <c r="C737" s="21"/>
      <c r="D737" s="36"/>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5" x14ac:dyDescent="0.45">
      <c r="A738" s="7"/>
      <c r="B738" s="7"/>
      <c r="C738" s="21"/>
      <c r="D738" s="36"/>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5" x14ac:dyDescent="0.45">
      <c r="A739" s="7"/>
      <c r="B739" s="7"/>
      <c r="C739" s="21"/>
      <c r="D739" s="36"/>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5" x14ac:dyDescent="0.45">
      <c r="A740" s="7"/>
      <c r="B740" s="7"/>
      <c r="C740" s="21"/>
      <c r="D740" s="36"/>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5" x14ac:dyDescent="0.45">
      <c r="A741" s="7"/>
      <c r="B741" s="7"/>
      <c r="C741" s="21"/>
      <c r="D741" s="36"/>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5" x14ac:dyDescent="0.45">
      <c r="A742" s="7"/>
      <c r="B742" s="7"/>
      <c r="C742" s="21"/>
      <c r="D742" s="36"/>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5" x14ac:dyDescent="0.45">
      <c r="A743" s="7"/>
      <c r="B743" s="7"/>
      <c r="C743" s="21"/>
      <c r="D743" s="36"/>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5" x14ac:dyDescent="0.45">
      <c r="A744" s="7"/>
      <c r="B744" s="7"/>
      <c r="C744" s="21"/>
      <c r="D744" s="36"/>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5" x14ac:dyDescent="0.45">
      <c r="A745" s="7"/>
      <c r="B745" s="7"/>
      <c r="C745" s="21"/>
      <c r="D745" s="36"/>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5" x14ac:dyDescent="0.45">
      <c r="A746" s="7"/>
      <c r="B746" s="7"/>
      <c r="C746" s="21"/>
      <c r="D746" s="36"/>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5" x14ac:dyDescent="0.45">
      <c r="A747" s="7"/>
      <c r="B747" s="7"/>
      <c r="C747" s="21"/>
      <c r="D747" s="36"/>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5" x14ac:dyDescent="0.45">
      <c r="A748" s="7"/>
      <c r="B748" s="7"/>
      <c r="C748" s="21"/>
      <c r="D748" s="36"/>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5" x14ac:dyDescent="0.45">
      <c r="A749" s="7"/>
      <c r="B749" s="7"/>
      <c r="C749" s="21"/>
      <c r="D749" s="36"/>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5" x14ac:dyDescent="0.45">
      <c r="A750" s="7"/>
      <c r="B750" s="7"/>
      <c r="C750" s="21"/>
      <c r="D750" s="36"/>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5" x14ac:dyDescent="0.45">
      <c r="A751" s="7"/>
      <c r="B751" s="7"/>
      <c r="C751" s="21"/>
      <c r="D751" s="36"/>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5" x14ac:dyDescent="0.45">
      <c r="A752" s="7"/>
      <c r="B752" s="7"/>
      <c r="C752" s="21"/>
      <c r="D752" s="36"/>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5" x14ac:dyDescent="0.45">
      <c r="A753" s="7"/>
      <c r="B753" s="7"/>
      <c r="C753" s="21"/>
      <c r="D753" s="36"/>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5" x14ac:dyDescent="0.45">
      <c r="A754" s="7"/>
      <c r="B754" s="7"/>
      <c r="C754" s="21"/>
      <c r="D754" s="36"/>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5" x14ac:dyDescent="0.45">
      <c r="A755" s="7"/>
      <c r="B755" s="7"/>
      <c r="C755" s="21"/>
      <c r="D755" s="36"/>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5" x14ac:dyDescent="0.45">
      <c r="A756" s="7"/>
      <c r="B756" s="7"/>
      <c r="C756" s="21"/>
      <c r="D756" s="36"/>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5" x14ac:dyDescent="0.45">
      <c r="A757" s="7"/>
      <c r="B757" s="7"/>
      <c r="C757" s="21"/>
      <c r="D757" s="36"/>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5" x14ac:dyDescent="0.45">
      <c r="A758" s="7"/>
      <c r="B758" s="7"/>
      <c r="C758" s="21"/>
      <c r="D758" s="36"/>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5" x14ac:dyDescent="0.45">
      <c r="A759" s="7"/>
      <c r="B759" s="7"/>
      <c r="C759" s="21"/>
      <c r="D759" s="36"/>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5" x14ac:dyDescent="0.45">
      <c r="A760" s="7"/>
      <c r="B760" s="7"/>
      <c r="C760" s="21"/>
      <c r="D760" s="36"/>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5" x14ac:dyDescent="0.45">
      <c r="A761" s="7"/>
      <c r="B761" s="7"/>
      <c r="C761" s="21"/>
      <c r="D761" s="36"/>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5" x14ac:dyDescent="0.45">
      <c r="A762" s="7"/>
      <c r="B762" s="7"/>
      <c r="C762" s="21"/>
      <c r="D762" s="36"/>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5" x14ac:dyDescent="0.45">
      <c r="A763" s="7"/>
      <c r="B763" s="7"/>
      <c r="C763" s="21"/>
      <c r="D763" s="36"/>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5" x14ac:dyDescent="0.45">
      <c r="A764" s="7"/>
      <c r="B764" s="7"/>
      <c r="C764" s="21"/>
      <c r="D764" s="36"/>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5" x14ac:dyDescent="0.45">
      <c r="A765" s="7"/>
      <c r="B765" s="7"/>
      <c r="C765" s="21"/>
      <c r="D765" s="36"/>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5" x14ac:dyDescent="0.45">
      <c r="A766" s="7"/>
      <c r="B766" s="7"/>
      <c r="C766" s="21"/>
      <c r="D766" s="36"/>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5" x14ac:dyDescent="0.45">
      <c r="A767" s="7"/>
      <c r="B767" s="7"/>
      <c r="C767" s="21"/>
      <c r="D767" s="36"/>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5" x14ac:dyDescent="0.45">
      <c r="A768" s="7"/>
      <c r="B768" s="7"/>
      <c r="C768" s="21"/>
      <c r="D768" s="36"/>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5" x14ac:dyDescent="0.45">
      <c r="A769" s="7"/>
      <c r="B769" s="7"/>
      <c r="C769" s="21"/>
      <c r="D769" s="36"/>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5" x14ac:dyDescent="0.45">
      <c r="A770" s="7"/>
      <c r="B770" s="7"/>
      <c r="C770" s="21"/>
      <c r="D770" s="36"/>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5" x14ac:dyDescent="0.45">
      <c r="A771" s="7"/>
      <c r="B771" s="7"/>
      <c r="C771" s="21"/>
      <c r="D771" s="36"/>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5" x14ac:dyDescent="0.45">
      <c r="A772" s="7"/>
      <c r="B772" s="7"/>
      <c r="C772" s="21"/>
      <c r="D772" s="36"/>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5" x14ac:dyDescent="0.45">
      <c r="A773" s="7"/>
      <c r="B773" s="7"/>
      <c r="C773" s="21"/>
      <c r="D773" s="36"/>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5" x14ac:dyDescent="0.45">
      <c r="A774" s="7"/>
      <c r="B774" s="7"/>
      <c r="C774" s="21"/>
      <c r="D774" s="36"/>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5" x14ac:dyDescent="0.45">
      <c r="A775" s="7"/>
      <c r="B775" s="7"/>
      <c r="C775" s="21"/>
      <c r="D775" s="36"/>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5" x14ac:dyDescent="0.45">
      <c r="A776" s="7"/>
      <c r="B776" s="7"/>
      <c r="C776" s="21"/>
      <c r="D776" s="36"/>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5" x14ac:dyDescent="0.45">
      <c r="A777" s="7"/>
      <c r="B777" s="7"/>
      <c r="C777" s="21"/>
      <c r="D777" s="36"/>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5" x14ac:dyDescent="0.45">
      <c r="A778" s="7"/>
      <c r="B778" s="7"/>
      <c r="C778" s="21"/>
      <c r="D778" s="36"/>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5" x14ac:dyDescent="0.45">
      <c r="A779" s="7"/>
      <c r="B779" s="7"/>
      <c r="C779" s="21"/>
      <c r="D779" s="36"/>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5" x14ac:dyDescent="0.45">
      <c r="A780" s="7"/>
      <c r="B780" s="7"/>
      <c r="C780" s="21"/>
      <c r="D780" s="36"/>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5" x14ac:dyDescent="0.45">
      <c r="A781" s="7"/>
      <c r="B781" s="7"/>
      <c r="C781" s="21"/>
      <c r="D781" s="36"/>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5" x14ac:dyDescent="0.45">
      <c r="A782" s="7"/>
      <c r="B782" s="7"/>
      <c r="C782" s="21"/>
      <c r="D782" s="36"/>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5" x14ac:dyDescent="0.45">
      <c r="A783" s="7"/>
      <c r="B783" s="7"/>
      <c r="C783" s="21"/>
      <c r="D783" s="36"/>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5" x14ac:dyDescent="0.45">
      <c r="A784" s="7"/>
      <c r="B784" s="7"/>
      <c r="C784" s="21"/>
      <c r="D784" s="36"/>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5" x14ac:dyDescent="0.45">
      <c r="A785" s="7"/>
      <c r="B785" s="7"/>
      <c r="C785" s="21"/>
      <c r="D785" s="36"/>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5" x14ac:dyDescent="0.45">
      <c r="A786" s="7"/>
      <c r="B786" s="7"/>
      <c r="C786" s="21"/>
      <c r="D786" s="36"/>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5" x14ac:dyDescent="0.45">
      <c r="A787" s="7"/>
      <c r="B787" s="7"/>
      <c r="C787" s="21"/>
      <c r="D787" s="36"/>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5" x14ac:dyDescent="0.45">
      <c r="A788" s="7"/>
      <c r="B788" s="7"/>
      <c r="C788" s="21"/>
      <c r="D788" s="36"/>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5" x14ac:dyDescent="0.45">
      <c r="A789" s="7"/>
      <c r="B789" s="7"/>
      <c r="C789" s="21"/>
      <c r="D789" s="36"/>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5" x14ac:dyDescent="0.45">
      <c r="A790" s="7"/>
      <c r="B790" s="7"/>
      <c r="C790" s="21"/>
      <c r="D790" s="36"/>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5" x14ac:dyDescent="0.45">
      <c r="A791" s="7"/>
      <c r="B791" s="7"/>
      <c r="C791" s="21"/>
      <c r="D791" s="36"/>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5" x14ac:dyDescent="0.45">
      <c r="A792" s="7"/>
      <c r="B792" s="7"/>
      <c r="C792" s="21"/>
      <c r="D792" s="36"/>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5" x14ac:dyDescent="0.45">
      <c r="A793" s="7"/>
      <c r="B793" s="7"/>
      <c r="C793" s="21"/>
      <c r="D793" s="36"/>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5" x14ac:dyDescent="0.45">
      <c r="A794" s="7"/>
      <c r="B794" s="7"/>
      <c r="C794" s="21"/>
      <c r="D794" s="36"/>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5" x14ac:dyDescent="0.45">
      <c r="A795" s="7"/>
      <c r="B795" s="7"/>
      <c r="C795" s="21"/>
      <c r="D795" s="36"/>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5" x14ac:dyDescent="0.45">
      <c r="A796" s="7"/>
      <c r="B796" s="7"/>
      <c r="C796" s="21"/>
      <c r="D796" s="36"/>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5" x14ac:dyDescent="0.45">
      <c r="A797" s="7"/>
      <c r="B797" s="7"/>
      <c r="C797" s="21"/>
      <c r="D797" s="36"/>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5" x14ac:dyDescent="0.45">
      <c r="A798" s="7"/>
      <c r="B798" s="7"/>
      <c r="C798" s="21"/>
      <c r="D798" s="36"/>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5" x14ac:dyDescent="0.45">
      <c r="A799" s="7"/>
      <c r="B799" s="7"/>
      <c r="C799" s="21"/>
      <c r="D799" s="36"/>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5" x14ac:dyDescent="0.45">
      <c r="A800" s="7"/>
      <c r="B800" s="7"/>
      <c r="C800" s="21"/>
      <c r="D800" s="36"/>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5" x14ac:dyDescent="0.45">
      <c r="A801" s="7"/>
      <c r="B801" s="7"/>
      <c r="C801" s="21"/>
      <c r="D801" s="36"/>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5" x14ac:dyDescent="0.45">
      <c r="A802" s="7"/>
      <c r="B802" s="7"/>
      <c r="C802" s="21"/>
      <c r="D802" s="36"/>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5" x14ac:dyDescent="0.45">
      <c r="A803" s="7"/>
      <c r="B803" s="7"/>
      <c r="C803" s="21"/>
      <c r="D803" s="36"/>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5" x14ac:dyDescent="0.45">
      <c r="A804" s="7"/>
      <c r="B804" s="7"/>
      <c r="C804" s="21"/>
      <c r="D804" s="36"/>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5" x14ac:dyDescent="0.45">
      <c r="A805" s="7"/>
      <c r="B805" s="7"/>
      <c r="C805" s="21"/>
      <c r="D805" s="36"/>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5" x14ac:dyDescent="0.45">
      <c r="A806" s="7"/>
      <c r="B806" s="7"/>
      <c r="C806" s="21"/>
      <c r="D806" s="36"/>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5" x14ac:dyDescent="0.45">
      <c r="A807" s="7"/>
      <c r="B807" s="7"/>
      <c r="C807" s="21"/>
      <c r="D807" s="36"/>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5" x14ac:dyDescent="0.45">
      <c r="A808" s="7"/>
      <c r="B808" s="7"/>
      <c r="C808" s="21"/>
      <c r="D808" s="36"/>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5" x14ac:dyDescent="0.45">
      <c r="A809" s="7"/>
      <c r="B809" s="7"/>
      <c r="C809" s="21"/>
      <c r="D809" s="36"/>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5" x14ac:dyDescent="0.45">
      <c r="A810" s="7"/>
      <c r="B810" s="7"/>
      <c r="C810" s="21"/>
      <c r="D810" s="36"/>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5" x14ac:dyDescent="0.45">
      <c r="A811" s="7"/>
      <c r="B811" s="7"/>
      <c r="C811" s="21"/>
      <c r="D811" s="36"/>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5" x14ac:dyDescent="0.45">
      <c r="A812" s="7"/>
      <c r="B812" s="7"/>
      <c r="C812" s="21"/>
      <c r="D812" s="36"/>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5" x14ac:dyDescent="0.45">
      <c r="A813" s="7"/>
      <c r="B813" s="7"/>
      <c r="C813" s="21"/>
      <c r="D813" s="36"/>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5" x14ac:dyDescent="0.45">
      <c r="A814" s="7"/>
      <c r="B814" s="7"/>
      <c r="C814" s="21"/>
      <c r="D814" s="36"/>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5" x14ac:dyDescent="0.45">
      <c r="A815" s="7"/>
      <c r="B815" s="7"/>
      <c r="C815" s="21"/>
      <c r="D815" s="36"/>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5" x14ac:dyDescent="0.45">
      <c r="A816" s="7"/>
      <c r="B816" s="7"/>
      <c r="C816" s="21"/>
      <c r="D816" s="36"/>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5" x14ac:dyDescent="0.45">
      <c r="A817" s="7"/>
      <c r="B817" s="7"/>
      <c r="C817" s="21"/>
      <c r="D817" s="36"/>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5" x14ac:dyDescent="0.45">
      <c r="A818" s="7"/>
      <c r="B818" s="7"/>
      <c r="C818" s="21"/>
      <c r="D818" s="36"/>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5" x14ac:dyDescent="0.45">
      <c r="A819" s="7"/>
      <c r="B819" s="7"/>
      <c r="C819" s="21"/>
      <c r="D819" s="36"/>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5" x14ac:dyDescent="0.45">
      <c r="A820" s="7"/>
      <c r="B820" s="7"/>
      <c r="C820" s="21"/>
      <c r="D820" s="36"/>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5" x14ac:dyDescent="0.45">
      <c r="A821" s="7"/>
      <c r="B821" s="7"/>
      <c r="C821" s="21"/>
      <c r="D821" s="36"/>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5" x14ac:dyDescent="0.45">
      <c r="A822" s="7"/>
      <c r="B822" s="7"/>
      <c r="C822" s="21"/>
      <c r="D822" s="36"/>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5" x14ac:dyDescent="0.45">
      <c r="A823" s="7"/>
      <c r="B823" s="7"/>
      <c r="C823" s="21"/>
      <c r="D823" s="36"/>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5" x14ac:dyDescent="0.45">
      <c r="A824" s="7"/>
      <c r="B824" s="7"/>
      <c r="C824" s="21"/>
      <c r="D824" s="36"/>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5" x14ac:dyDescent="0.45">
      <c r="A825" s="7"/>
      <c r="B825" s="7"/>
      <c r="C825" s="21"/>
      <c r="D825" s="36"/>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5" x14ac:dyDescent="0.45">
      <c r="A826" s="7"/>
      <c r="B826" s="7"/>
      <c r="C826" s="21"/>
      <c r="D826" s="36"/>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5" x14ac:dyDescent="0.45">
      <c r="A827" s="7"/>
      <c r="B827" s="7"/>
      <c r="C827" s="21"/>
      <c r="D827" s="36"/>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5" x14ac:dyDescent="0.45">
      <c r="A828" s="7"/>
      <c r="B828" s="7"/>
      <c r="C828" s="21"/>
      <c r="D828" s="36"/>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5" x14ac:dyDescent="0.45">
      <c r="A829" s="7"/>
      <c r="B829" s="7"/>
      <c r="C829" s="21"/>
      <c r="D829" s="36"/>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5" x14ac:dyDescent="0.45">
      <c r="A830" s="7"/>
      <c r="B830" s="7"/>
      <c r="C830" s="21"/>
      <c r="D830" s="36"/>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5" x14ac:dyDescent="0.45">
      <c r="A831" s="7"/>
      <c r="B831" s="7"/>
      <c r="C831" s="21"/>
      <c r="D831" s="36"/>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5" x14ac:dyDescent="0.45">
      <c r="A832" s="7"/>
      <c r="B832" s="7"/>
      <c r="C832" s="21"/>
      <c r="D832" s="36"/>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5" x14ac:dyDescent="0.45">
      <c r="A833" s="7"/>
      <c r="B833" s="7"/>
      <c r="C833" s="21"/>
      <c r="D833" s="36"/>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5" x14ac:dyDescent="0.45">
      <c r="A834" s="7"/>
      <c r="B834" s="7"/>
      <c r="C834" s="21"/>
      <c r="D834" s="36"/>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5" x14ac:dyDescent="0.45">
      <c r="A835" s="7"/>
      <c r="B835" s="7"/>
      <c r="C835" s="21"/>
      <c r="D835" s="36"/>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5" x14ac:dyDescent="0.45">
      <c r="A836" s="7"/>
      <c r="B836" s="7"/>
      <c r="C836" s="21"/>
      <c r="D836" s="36"/>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5" x14ac:dyDescent="0.45">
      <c r="A837" s="7"/>
      <c r="B837" s="7"/>
      <c r="C837" s="21"/>
      <c r="D837" s="36"/>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5" x14ac:dyDescent="0.45">
      <c r="A838" s="7"/>
      <c r="B838" s="7"/>
      <c r="C838" s="21"/>
      <c r="D838" s="36"/>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5" x14ac:dyDescent="0.45">
      <c r="A839" s="7"/>
      <c r="B839" s="7"/>
      <c r="C839" s="21"/>
      <c r="D839" s="36"/>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5" x14ac:dyDescent="0.45">
      <c r="A840" s="7"/>
      <c r="B840" s="7"/>
      <c r="C840" s="21"/>
      <c r="D840" s="36"/>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5" x14ac:dyDescent="0.45">
      <c r="A841" s="7"/>
      <c r="B841" s="7"/>
      <c r="C841" s="21"/>
      <c r="D841" s="36"/>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5" x14ac:dyDescent="0.45">
      <c r="A842" s="7"/>
      <c r="B842" s="7"/>
      <c r="C842" s="21"/>
      <c r="D842" s="36"/>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5" x14ac:dyDescent="0.45">
      <c r="A843" s="7"/>
      <c r="B843" s="7"/>
      <c r="C843" s="21"/>
      <c r="D843" s="36"/>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5" x14ac:dyDescent="0.45">
      <c r="A844" s="7"/>
      <c r="B844" s="7"/>
      <c r="C844" s="21"/>
      <c r="D844" s="36"/>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5" x14ac:dyDescent="0.45">
      <c r="A845" s="7"/>
      <c r="B845" s="7"/>
      <c r="C845" s="21"/>
      <c r="D845" s="36"/>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5" x14ac:dyDescent="0.45">
      <c r="A846" s="7"/>
      <c r="B846" s="7"/>
      <c r="C846" s="21"/>
      <c r="D846" s="36"/>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5" x14ac:dyDescent="0.45">
      <c r="A847" s="7"/>
      <c r="B847" s="7"/>
      <c r="C847" s="21"/>
      <c r="D847" s="36"/>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5" x14ac:dyDescent="0.45">
      <c r="A848" s="7"/>
      <c r="B848" s="7"/>
      <c r="C848" s="21"/>
      <c r="D848" s="36"/>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5" x14ac:dyDescent="0.45">
      <c r="A849" s="7"/>
      <c r="B849" s="7"/>
      <c r="C849" s="21"/>
      <c r="D849" s="36"/>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5" x14ac:dyDescent="0.45">
      <c r="A850" s="7"/>
      <c r="B850" s="7"/>
      <c r="C850" s="21"/>
      <c r="D850" s="36"/>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5" x14ac:dyDescent="0.45">
      <c r="A851" s="7"/>
      <c r="B851" s="7"/>
      <c r="C851" s="21"/>
      <c r="D851" s="36"/>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5" x14ac:dyDescent="0.45">
      <c r="A852" s="7"/>
      <c r="B852" s="7"/>
      <c r="C852" s="21"/>
      <c r="D852" s="36"/>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5" x14ac:dyDescent="0.45">
      <c r="A853" s="7"/>
      <c r="B853" s="7"/>
      <c r="C853" s="21"/>
      <c r="D853" s="36"/>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5" x14ac:dyDescent="0.45">
      <c r="A854" s="7"/>
      <c r="B854" s="7"/>
      <c r="C854" s="21"/>
      <c r="D854" s="36"/>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5" x14ac:dyDescent="0.45">
      <c r="A855" s="7"/>
      <c r="B855" s="7"/>
      <c r="C855" s="21"/>
      <c r="D855" s="36"/>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5" x14ac:dyDescent="0.45">
      <c r="A856" s="7"/>
      <c r="B856" s="7"/>
      <c r="C856" s="21"/>
      <c r="D856" s="36"/>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5" x14ac:dyDescent="0.45">
      <c r="A857" s="7"/>
      <c r="B857" s="7"/>
      <c r="C857" s="21"/>
      <c r="D857" s="36"/>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5" x14ac:dyDescent="0.45">
      <c r="A858" s="7"/>
      <c r="B858" s="7"/>
      <c r="C858" s="21"/>
      <c r="D858" s="36"/>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5" x14ac:dyDescent="0.45">
      <c r="A859" s="7"/>
      <c r="B859" s="7"/>
      <c r="C859" s="21"/>
      <c r="D859" s="36"/>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5" x14ac:dyDescent="0.45">
      <c r="A860" s="7"/>
      <c r="B860" s="7"/>
      <c r="C860" s="21"/>
      <c r="D860" s="36"/>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5" x14ac:dyDescent="0.45">
      <c r="A861" s="7"/>
      <c r="B861" s="7"/>
      <c r="C861" s="21"/>
      <c r="D861" s="36"/>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5" x14ac:dyDescent="0.45">
      <c r="A862" s="7"/>
      <c r="B862" s="7"/>
      <c r="C862" s="21"/>
      <c r="D862" s="36"/>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5" x14ac:dyDescent="0.45">
      <c r="A863" s="7"/>
      <c r="B863" s="7"/>
      <c r="C863" s="21"/>
      <c r="D863" s="36"/>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5" x14ac:dyDescent="0.45">
      <c r="A864" s="7"/>
      <c r="B864" s="7"/>
      <c r="C864" s="21"/>
      <c r="D864" s="36"/>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5" x14ac:dyDescent="0.45">
      <c r="A865" s="7"/>
      <c r="B865" s="7"/>
      <c r="C865" s="21"/>
      <c r="D865" s="36"/>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5" x14ac:dyDescent="0.45">
      <c r="A866" s="7"/>
      <c r="B866" s="7"/>
      <c r="C866" s="21"/>
      <c r="D866" s="36"/>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5" x14ac:dyDescent="0.45">
      <c r="A867" s="7"/>
      <c r="B867" s="7"/>
      <c r="C867" s="21"/>
      <c r="D867" s="36"/>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5" x14ac:dyDescent="0.45">
      <c r="A868" s="7"/>
      <c r="B868" s="7"/>
      <c r="C868" s="21"/>
      <c r="D868" s="36"/>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5" x14ac:dyDescent="0.45">
      <c r="A869" s="7"/>
      <c r="B869" s="7"/>
      <c r="C869" s="21"/>
      <c r="D869" s="36"/>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5" x14ac:dyDescent="0.45">
      <c r="A870" s="7"/>
      <c r="B870" s="7"/>
      <c r="C870" s="21"/>
      <c r="D870" s="36"/>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5" x14ac:dyDescent="0.45">
      <c r="A871" s="7"/>
      <c r="B871" s="7"/>
      <c r="C871" s="21"/>
      <c r="D871" s="36"/>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5" x14ac:dyDescent="0.45">
      <c r="A872" s="7"/>
      <c r="B872" s="7"/>
      <c r="C872" s="21"/>
      <c r="D872" s="36"/>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5" x14ac:dyDescent="0.45">
      <c r="A873" s="7"/>
      <c r="B873" s="7"/>
      <c r="C873" s="21"/>
      <c r="D873" s="36"/>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5" x14ac:dyDescent="0.45">
      <c r="A874" s="7"/>
      <c r="B874" s="7"/>
      <c r="C874" s="21"/>
      <c r="D874" s="36"/>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5" x14ac:dyDescent="0.45">
      <c r="A875" s="7"/>
      <c r="B875" s="7"/>
      <c r="C875" s="21"/>
      <c r="D875" s="36"/>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5" x14ac:dyDescent="0.45">
      <c r="A876" s="7"/>
      <c r="B876" s="7"/>
      <c r="C876" s="21"/>
      <c r="D876" s="36"/>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5" x14ac:dyDescent="0.45">
      <c r="A877" s="7"/>
      <c r="B877" s="7"/>
      <c r="C877" s="21"/>
      <c r="D877" s="36"/>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5" x14ac:dyDescent="0.45">
      <c r="A878" s="7"/>
      <c r="B878" s="7"/>
      <c r="C878" s="21"/>
      <c r="D878" s="36"/>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5" x14ac:dyDescent="0.45">
      <c r="A879" s="7"/>
      <c r="B879" s="7"/>
      <c r="C879" s="21"/>
      <c r="D879" s="36"/>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5" x14ac:dyDescent="0.45">
      <c r="A880" s="7"/>
      <c r="B880" s="7"/>
      <c r="C880" s="21"/>
      <c r="D880" s="36"/>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5" x14ac:dyDescent="0.45">
      <c r="A881" s="7"/>
      <c r="B881" s="7"/>
      <c r="C881" s="21"/>
      <c r="D881" s="36"/>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5" x14ac:dyDescent="0.45">
      <c r="A882" s="7"/>
      <c r="B882" s="7"/>
      <c r="C882" s="21"/>
      <c r="D882" s="36"/>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5" x14ac:dyDescent="0.45">
      <c r="A883" s="7"/>
      <c r="B883" s="7"/>
      <c r="C883" s="21"/>
      <c r="D883" s="36"/>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5" x14ac:dyDescent="0.45">
      <c r="A884" s="7"/>
      <c r="B884" s="7"/>
      <c r="C884" s="21"/>
      <c r="D884" s="36"/>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5" x14ac:dyDescent="0.45">
      <c r="A885" s="7"/>
      <c r="B885" s="7"/>
      <c r="C885" s="21"/>
      <c r="D885" s="36"/>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5" x14ac:dyDescent="0.45">
      <c r="A886" s="7"/>
      <c r="B886" s="7"/>
      <c r="C886" s="21"/>
      <c r="D886" s="36"/>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5" x14ac:dyDescent="0.45">
      <c r="A887" s="7"/>
      <c r="B887" s="7"/>
      <c r="C887" s="21"/>
      <c r="D887" s="36"/>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5" x14ac:dyDescent="0.45">
      <c r="A888" s="7"/>
      <c r="B888" s="7"/>
      <c r="C888" s="21"/>
      <c r="D888" s="36"/>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5" x14ac:dyDescent="0.45">
      <c r="A889" s="7"/>
      <c r="B889" s="7"/>
      <c r="C889" s="21"/>
      <c r="D889" s="36"/>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5" x14ac:dyDescent="0.45">
      <c r="A890" s="7"/>
      <c r="B890" s="7"/>
      <c r="C890" s="21"/>
      <c r="D890" s="36"/>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5" x14ac:dyDescent="0.45">
      <c r="A891" s="7"/>
      <c r="B891" s="7"/>
      <c r="C891" s="21"/>
      <c r="D891" s="36"/>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5" x14ac:dyDescent="0.45">
      <c r="A892" s="7"/>
      <c r="B892" s="7"/>
      <c r="C892" s="21"/>
      <c r="D892" s="36"/>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5" x14ac:dyDescent="0.45">
      <c r="A893" s="7"/>
      <c r="B893" s="7"/>
      <c r="C893" s="21"/>
      <c r="D893" s="36"/>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5" x14ac:dyDescent="0.45">
      <c r="A894" s="7"/>
      <c r="B894" s="7"/>
      <c r="C894" s="21"/>
      <c r="D894" s="36"/>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5" x14ac:dyDescent="0.45">
      <c r="A895" s="7"/>
      <c r="B895" s="7"/>
      <c r="C895" s="21"/>
      <c r="D895" s="36"/>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5" x14ac:dyDescent="0.45">
      <c r="A896" s="7"/>
      <c r="B896" s="7"/>
      <c r="C896" s="21"/>
      <c r="D896" s="36"/>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5" x14ac:dyDescent="0.45">
      <c r="A897" s="7"/>
      <c r="B897" s="7"/>
      <c r="C897" s="21"/>
      <c r="D897" s="36"/>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5" x14ac:dyDescent="0.45">
      <c r="A898" s="7"/>
      <c r="B898" s="7"/>
      <c r="C898" s="21"/>
      <c r="D898" s="36"/>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5" x14ac:dyDescent="0.45">
      <c r="A899" s="7"/>
      <c r="B899" s="7"/>
      <c r="C899" s="21"/>
      <c r="D899" s="36"/>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5" x14ac:dyDescent="0.45">
      <c r="A900" s="7"/>
      <c r="B900" s="7"/>
      <c r="C900" s="21"/>
      <c r="D900" s="36"/>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5" x14ac:dyDescent="0.45">
      <c r="A901" s="7"/>
      <c r="B901" s="7"/>
      <c r="C901" s="21"/>
      <c r="D901" s="36"/>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5" x14ac:dyDescent="0.45">
      <c r="A902" s="7"/>
      <c r="B902" s="7"/>
      <c r="C902" s="21"/>
      <c r="D902" s="36"/>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5" x14ac:dyDescent="0.45">
      <c r="A903" s="7"/>
      <c r="B903" s="7"/>
      <c r="C903" s="21"/>
      <c r="D903" s="36"/>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5" x14ac:dyDescent="0.45">
      <c r="A904" s="7"/>
      <c r="B904" s="7"/>
      <c r="C904" s="21"/>
      <c r="D904" s="36"/>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5" x14ac:dyDescent="0.45">
      <c r="A905" s="7"/>
      <c r="B905" s="7"/>
      <c r="C905" s="21"/>
      <c r="D905" s="36"/>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5" x14ac:dyDescent="0.45">
      <c r="A906" s="7"/>
      <c r="B906" s="7"/>
      <c r="C906" s="21"/>
      <c r="D906" s="36"/>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5" x14ac:dyDescent="0.45">
      <c r="A907" s="7"/>
      <c r="B907" s="7"/>
      <c r="C907" s="21"/>
      <c r="D907" s="36"/>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5" x14ac:dyDescent="0.45">
      <c r="A908" s="7"/>
      <c r="B908" s="7"/>
      <c r="C908" s="21"/>
      <c r="D908" s="36"/>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5" x14ac:dyDescent="0.45">
      <c r="A909" s="7"/>
      <c r="B909" s="7"/>
      <c r="C909" s="21"/>
      <c r="D909" s="36"/>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5" x14ac:dyDescent="0.45">
      <c r="A910" s="7"/>
      <c r="B910" s="7"/>
      <c r="C910" s="21"/>
      <c r="D910" s="36"/>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5" x14ac:dyDescent="0.45">
      <c r="A911" s="7"/>
      <c r="B911" s="7"/>
      <c r="C911" s="21"/>
      <c r="D911" s="36"/>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5" x14ac:dyDescent="0.45">
      <c r="A912" s="7"/>
      <c r="B912" s="7"/>
      <c r="C912" s="21"/>
      <c r="D912" s="36"/>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5" x14ac:dyDescent="0.45">
      <c r="A913" s="7"/>
      <c r="B913" s="7"/>
      <c r="C913" s="21"/>
      <c r="D913" s="36"/>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5" x14ac:dyDescent="0.45">
      <c r="A914" s="7"/>
      <c r="B914" s="7"/>
      <c r="C914" s="21"/>
      <c r="D914" s="36"/>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5" x14ac:dyDescent="0.45">
      <c r="A915" s="7"/>
      <c r="B915" s="7"/>
      <c r="C915" s="21"/>
      <c r="D915" s="36"/>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5" x14ac:dyDescent="0.45">
      <c r="A916" s="7"/>
      <c r="B916" s="7"/>
      <c r="C916" s="21"/>
      <c r="D916" s="36"/>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5" x14ac:dyDescent="0.45">
      <c r="A917" s="7"/>
      <c r="B917" s="7"/>
      <c r="C917" s="21"/>
      <c r="D917" s="36"/>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5" x14ac:dyDescent="0.45">
      <c r="A918" s="7"/>
      <c r="B918" s="7"/>
      <c r="C918" s="21"/>
      <c r="D918" s="36"/>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5" x14ac:dyDescent="0.45">
      <c r="A919" s="7"/>
      <c r="B919" s="7"/>
      <c r="C919" s="21"/>
      <c r="D919" s="36"/>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5" x14ac:dyDescent="0.45">
      <c r="A920" s="7"/>
      <c r="B920" s="7"/>
      <c r="C920" s="21"/>
      <c r="D920" s="36"/>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5" x14ac:dyDescent="0.45">
      <c r="A921" s="7"/>
      <c r="B921" s="7"/>
      <c r="C921" s="21"/>
      <c r="D921" s="36"/>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5" x14ac:dyDescent="0.45">
      <c r="A922" s="7"/>
      <c r="B922" s="7"/>
      <c r="C922" s="21"/>
      <c r="D922" s="36"/>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5" x14ac:dyDescent="0.45">
      <c r="A923" s="7"/>
      <c r="B923" s="7"/>
      <c r="C923" s="21"/>
      <c r="D923" s="36"/>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5" x14ac:dyDescent="0.45">
      <c r="A924" s="7"/>
      <c r="B924" s="7"/>
      <c r="C924" s="21"/>
      <c r="D924" s="36"/>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5" x14ac:dyDescent="0.45">
      <c r="A925" s="7"/>
      <c r="B925" s="7"/>
      <c r="C925" s="21"/>
      <c r="D925" s="36"/>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5" x14ac:dyDescent="0.45">
      <c r="A926" s="7"/>
      <c r="B926" s="7"/>
      <c r="C926" s="21"/>
      <c r="D926" s="36"/>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5" x14ac:dyDescent="0.45">
      <c r="A927" s="7"/>
      <c r="B927" s="7"/>
      <c r="C927" s="21"/>
      <c r="D927" s="36"/>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5" x14ac:dyDescent="0.45">
      <c r="A928" s="7"/>
      <c r="B928" s="7"/>
      <c r="C928" s="21"/>
      <c r="D928" s="36"/>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5" x14ac:dyDescent="0.45">
      <c r="A929" s="7"/>
      <c r="B929" s="7"/>
      <c r="C929" s="21"/>
      <c r="D929" s="36"/>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5" x14ac:dyDescent="0.45">
      <c r="A930" s="7"/>
      <c r="B930" s="7"/>
      <c r="C930" s="21"/>
      <c r="D930" s="36"/>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5" x14ac:dyDescent="0.45">
      <c r="A931" s="7"/>
      <c r="B931" s="7"/>
      <c r="C931" s="21"/>
      <c r="D931" s="36"/>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5" x14ac:dyDescent="0.45">
      <c r="A932" s="7"/>
      <c r="B932" s="7"/>
      <c r="C932" s="21"/>
      <c r="D932" s="36"/>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5" x14ac:dyDescent="0.45">
      <c r="A933" s="7"/>
      <c r="B933" s="7"/>
      <c r="C933" s="21"/>
      <c r="D933" s="36"/>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5" x14ac:dyDescent="0.45">
      <c r="A934" s="7"/>
      <c r="B934" s="7"/>
      <c r="C934" s="21"/>
      <c r="D934" s="36"/>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5" x14ac:dyDescent="0.45">
      <c r="A935" s="7"/>
      <c r="B935" s="7"/>
      <c r="C935" s="21"/>
      <c r="D935" s="36"/>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5" x14ac:dyDescent="0.45">
      <c r="A936" s="7"/>
      <c r="B936" s="7"/>
      <c r="C936" s="21"/>
      <c r="D936" s="36"/>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5" x14ac:dyDescent="0.45">
      <c r="A937" s="7"/>
      <c r="B937" s="7"/>
      <c r="C937" s="21"/>
      <c r="D937" s="36"/>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5" x14ac:dyDescent="0.45">
      <c r="A938" s="7"/>
      <c r="B938" s="7"/>
      <c r="C938" s="21"/>
      <c r="D938" s="36"/>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5" x14ac:dyDescent="0.45">
      <c r="A939" s="7"/>
      <c r="B939" s="7"/>
      <c r="C939" s="21"/>
      <c r="D939" s="36"/>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5" x14ac:dyDescent="0.45">
      <c r="A940" s="7"/>
      <c r="B940" s="7"/>
      <c r="C940" s="21"/>
      <c r="D940" s="36"/>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5" x14ac:dyDescent="0.45">
      <c r="A941" s="7"/>
      <c r="B941" s="7"/>
      <c r="C941" s="21"/>
      <c r="D941" s="36"/>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5" x14ac:dyDescent="0.45">
      <c r="A942" s="7"/>
      <c r="B942" s="7"/>
      <c r="C942" s="21"/>
      <c r="D942" s="36"/>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5" x14ac:dyDescent="0.45">
      <c r="A943" s="7"/>
      <c r="B943" s="7"/>
      <c r="C943" s="21"/>
      <c r="D943" s="36"/>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5" x14ac:dyDescent="0.45">
      <c r="A944" s="7"/>
      <c r="B944" s="7"/>
      <c r="C944" s="21"/>
      <c r="D944" s="36"/>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5" x14ac:dyDescent="0.45">
      <c r="A945" s="7"/>
      <c r="B945" s="7"/>
      <c r="C945" s="21"/>
      <c r="D945" s="36"/>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5" x14ac:dyDescent="0.45">
      <c r="A946" s="7"/>
      <c r="B946" s="7"/>
      <c r="C946" s="21"/>
      <c r="D946" s="36"/>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5" x14ac:dyDescent="0.45">
      <c r="A947" s="7"/>
      <c r="B947" s="7"/>
      <c r="C947" s="21"/>
      <c r="D947" s="36"/>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5" x14ac:dyDescent="0.45">
      <c r="A948" s="7"/>
      <c r="B948" s="7"/>
      <c r="C948" s="21"/>
      <c r="D948" s="36"/>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5" x14ac:dyDescent="0.45">
      <c r="A949" s="7"/>
      <c r="B949" s="7"/>
      <c r="C949" s="21"/>
      <c r="D949" s="36"/>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5" x14ac:dyDescent="0.45">
      <c r="A950" s="7"/>
      <c r="B950" s="7"/>
      <c r="C950" s="21"/>
      <c r="D950" s="36"/>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5" x14ac:dyDescent="0.45">
      <c r="A951" s="7"/>
      <c r="B951" s="7"/>
      <c r="C951" s="21"/>
      <c r="D951" s="36"/>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5" x14ac:dyDescent="0.45">
      <c r="A952" s="7"/>
      <c r="B952" s="7"/>
      <c r="C952" s="21"/>
      <c r="D952" s="36"/>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5" x14ac:dyDescent="0.45">
      <c r="A953" s="7"/>
      <c r="B953" s="7"/>
      <c r="C953" s="21"/>
      <c r="D953" s="36"/>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5" x14ac:dyDescent="0.45">
      <c r="A954" s="7"/>
      <c r="B954" s="7"/>
      <c r="C954" s="21"/>
      <c r="D954" s="36"/>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5" x14ac:dyDescent="0.45">
      <c r="A955" s="7"/>
      <c r="B955" s="7"/>
      <c r="C955" s="21"/>
      <c r="D955" s="36"/>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5" x14ac:dyDescent="0.45">
      <c r="A956" s="7"/>
      <c r="B956" s="7"/>
      <c r="C956" s="21"/>
      <c r="D956" s="36"/>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5" x14ac:dyDescent="0.45">
      <c r="A957" s="7"/>
      <c r="B957" s="7"/>
      <c r="C957" s="21"/>
      <c r="D957" s="36"/>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5" x14ac:dyDescent="0.45">
      <c r="A958" s="7"/>
      <c r="B958" s="7"/>
      <c r="C958" s="21"/>
      <c r="D958" s="36"/>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5" x14ac:dyDescent="0.45">
      <c r="A959" s="7"/>
      <c r="B959" s="7"/>
      <c r="C959" s="21"/>
      <c r="D959" s="36"/>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5" x14ac:dyDescent="0.45">
      <c r="A960" s="7"/>
      <c r="B960" s="7"/>
      <c r="C960" s="21"/>
      <c r="D960" s="36"/>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5" x14ac:dyDescent="0.45">
      <c r="A961" s="7"/>
      <c r="B961" s="7"/>
      <c r="C961" s="21"/>
      <c r="D961" s="36"/>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5" x14ac:dyDescent="0.45">
      <c r="A962" s="7"/>
      <c r="B962" s="7"/>
      <c r="C962" s="21"/>
      <c r="D962" s="36"/>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5" x14ac:dyDescent="0.45">
      <c r="A963" s="7"/>
      <c r="B963" s="7"/>
      <c r="C963" s="21"/>
      <c r="D963" s="36"/>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5" x14ac:dyDescent="0.45">
      <c r="A964" s="7"/>
      <c r="B964" s="7"/>
      <c r="C964" s="21"/>
      <c r="D964" s="36"/>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5" x14ac:dyDescent="0.45">
      <c r="A965" s="7"/>
      <c r="B965" s="7"/>
      <c r="C965" s="21"/>
      <c r="D965" s="36"/>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5" x14ac:dyDescent="0.45">
      <c r="A966" s="7"/>
      <c r="B966" s="7"/>
      <c r="C966" s="21"/>
      <c r="D966" s="36"/>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5" x14ac:dyDescent="0.45">
      <c r="A967" s="7"/>
      <c r="B967" s="7"/>
      <c r="C967" s="21"/>
      <c r="D967" s="36"/>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5" x14ac:dyDescent="0.45">
      <c r="A968" s="7"/>
      <c r="B968" s="7"/>
      <c r="C968" s="21"/>
      <c r="D968" s="36"/>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5" x14ac:dyDescent="0.45">
      <c r="A969" s="7"/>
      <c r="B969" s="7"/>
      <c r="C969" s="21"/>
      <c r="D969" s="36"/>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5" x14ac:dyDescent="0.45">
      <c r="A970" s="7"/>
      <c r="B970" s="7"/>
      <c r="C970" s="21"/>
      <c r="D970" s="36"/>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5" x14ac:dyDescent="0.45">
      <c r="A971" s="7"/>
      <c r="B971" s="7"/>
      <c r="C971" s="21"/>
      <c r="D971" s="36"/>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5" x14ac:dyDescent="0.45">
      <c r="A972" s="7"/>
      <c r="B972" s="7"/>
      <c r="C972" s="21"/>
      <c r="D972" s="36"/>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5" x14ac:dyDescent="0.45">
      <c r="A973" s="7"/>
      <c r="B973" s="7"/>
      <c r="C973" s="21"/>
      <c r="D973" s="36"/>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5" x14ac:dyDescent="0.45">
      <c r="A974" s="7"/>
      <c r="B974" s="7"/>
      <c r="C974" s="21"/>
      <c r="D974" s="36"/>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5" x14ac:dyDescent="0.45">
      <c r="A975" s="7"/>
      <c r="B975" s="7"/>
      <c r="C975" s="21"/>
      <c r="D975" s="36"/>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5" x14ac:dyDescent="0.45">
      <c r="A976" s="7"/>
      <c r="B976" s="7"/>
      <c r="C976" s="21"/>
      <c r="D976" s="36"/>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5" x14ac:dyDescent="0.45">
      <c r="A977" s="7"/>
      <c r="B977" s="7"/>
      <c r="C977" s="21"/>
      <c r="D977" s="36"/>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5" x14ac:dyDescent="0.45">
      <c r="A978" s="7"/>
      <c r="B978" s="7"/>
      <c r="C978" s="21"/>
      <c r="D978" s="36"/>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5" x14ac:dyDescent="0.45">
      <c r="A979" s="7"/>
      <c r="B979" s="7"/>
      <c r="C979" s="21"/>
      <c r="D979" s="36"/>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5" x14ac:dyDescent="0.45">
      <c r="A980" s="7"/>
      <c r="B980" s="7"/>
      <c r="C980" s="21"/>
      <c r="D980" s="36"/>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5" x14ac:dyDescent="0.45">
      <c r="A981" s="7"/>
      <c r="B981" s="7"/>
      <c r="C981" s="21"/>
      <c r="D981" s="36"/>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5" x14ac:dyDescent="0.45">
      <c r="A982" s="7"/>
      <c r="B982" s="7"/>
      <c r="C982" s="21"/>
      <c r="D982" s="36"/>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5" x14ac:dyDescent="0.45">
      <c r="A983" s="7"/>
      <c r="B983" s="7"/>
      <c r="C983" s="21"/>
      <c r="D983" s="36"/>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5" x14ac:dyDescent="0.45">
      <c r="A984" s="7"/>
      <c r="B984" s="7"/>
      <c r="C984" s="21"/>
      <c r="D984" s="36"/>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5" x14ac:dyDescent="0.45">
      <c r="A985" s="7"/>
      <c r="B985" s="7"/>
      <c r="C985" s="21"/>
      <c r="D985" s="36"/>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5" x14ac:dyDescent="0.45">
      <c r="A986" s="7"/>
      <c r="B986" s="7"/>
      <c r="C986" s="21"/>
      <c r="D986" s="36"/>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5" x14ac:dyDescent="0.45">
      <c r="A987" s="7"/>
      <c r="B987" s="7"/>
      <c r="C987" s="21"/>
      <c r="D987" s="36"/>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5" x14ac:dyDescent="0.45">
      <c r="A988" s="7"/>
      <c r="B988" s="7"/>
      <c r="C988" s="21"/>
      <c r="D988" s="36"/>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5" x14ac:dyDescent="0.45">
      <c r="A989" s="7"/>
      <c r="B989" s="7"/>
      <c r="C989" s="21"/>
      <c r="D989" s="36"/>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5" x14ac:dyDescent="0.45">
      <c r="A990" s="7"/>
      <c r="B990" s="7"/>
      <c r="C990" s="21"/>
      <c r="D990" s="36"/>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5" x14ac:dyDescent="0.45">
      <c r="A991" s="7"/>
      <c r="B991" s="7"/>
      <c r="C991" s="21"/>
      <c r="D991" s="36"/>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5" x14ac:dyDescent="0.45">
      <c r="A992" s="7"/>
      <c r="B992" s="7"/>
      <c r="C992" s="21"/>
      <c r="D992" s="36"/>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5" x14ac:dyDescent="0.45">
      <c r="A993" s="7"/>
      <c r="B993" s="7"/>
      <c r="C993" s="21"/>
      <c r="D993" s="36"/>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5" x14ac:dyDescent="0.45">
      <c r="A994" s="7"/>
      <c r="B994" s="7"/>
      <c r="C994" s="21"/>
      <c r="D994" s="36"/>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5" x14ac:dyDescent="0.45">
      <c r="A995" s="7"/>
      <c r="B995" s="7"/>
      <c r="C995" s="21"/>
      <c r="D995" s="36"/>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5" x14ac:dyDescent="0.45">
      <c r="A996" s="7"/>
      <c r="B996" s="7"/>
      <c r="C996" s="21"/>
      <c r="D996" s="36"/>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5" x14ac:dyDescent="0.45">
      <c r="A997" s="7"/>
      <c r="B997" s="7"/>
      <c r="C997" s="21"/>
      <c r="D997" s="36"/>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5" x14ac:dyDescent="0.45">
      <c r="A998" s="7"/>
      <c r="B998" s="7"/>
      <c r="C998" s="21"/>
      <c r="D998" s="36"/>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5" x14ac:dyDescent="0.45">
      <c r="A999" s="7"/>
      <c r="B999" s="7"/>
      <c r="C999" s="21"/>
      <c r="D999" s="36"/>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5" x14ac:dyDescent="0.45">
      <c r="A1000" s="7"/>
      <c r="B1000" s="7"/>
      <c r="C1000" s="21"/>
      <c r="D1000" s="36"/>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5" x14ac:dyDescent="0.45">
      <c r="A1001" s="7"/>
      <c r="B1001" s="7"/>
      <c r="C1001" s="21"/>
      <c r="D1001" s="36"/>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5" x14ac:dyDescent="0.45">
      <c r="A1002" s="7"/>
      <c r="B1002" s="7"/>
      <c r="C1002" s="21"/>
      <c r="D1002" s="36"/>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5" x14ac:dyDescent="0.45">
      <c r="A1003" s="7"/>
      <c r="B1003" s="7"/>
      <c r="C1003" s="21"/>
      <c r="D1003" s="36"/>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5" x14ac:dyDescent="0.45">
      <c r="A1004" s="7"/>
      <c r="B1004" s="7"/>
      <c r="C1004" s="21"/>
      <c r="D1004" s="36"/>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5" x14ac:dyDescent="0.45">
      <c r="A1005" s="7"/>
      <c r="B1005" s="7"/>
      <c r="C1005" s="21"/>
      <c r="D1005" s="36"/>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5" x14ac:dyDescent="0.45">
      <c r="A1006" s="7"/>
      <c r="B1006" s="7"/>
      <c r="C1006" s="21"/>
      <c r="D1006" s="36"/>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5" x14ac:dyDescent="0.45">
      <c r="A1007" s="7"/>
      <c r="B1007" s="7"/>
      <c r="C1007" s="21"/>
      <c r="D1007" s="36"/>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5" x14ac:dyDescent="0.45">
      <c r="A1008" s="7"/>
      <c r="B1008" s="7"/>
      <c r="C1008" s="21"/>
      <c r="D1008" s="36"/>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5" x14ac:dyDescent="0.45">
      <c r="A1009" s="7"/>
      <c r="B1009" s="7"/>
      <c r="C1009" s="21"/>
      <c r="D1009" s="36"/>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5" x14ac:dyDescent="0.45">
      <c r="A1010" s="7"/>
      <c r="B1010" s="7"/>
      <c r="C1010" s="21"/>
      <c r="D1010" s="36"/>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5" x14ac:dyDescent="0.45">
      <c r="A1011" s="7"/>
      <c r="B1011" s="7"/>
      <c r="C1011" s="21"/>
      <c r="D1011" s="36"/>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5" x14ac:dyDescent="0.45">
      <c r="A1012" s="7"/>
      <c r="B1012" s="7"/>
      <c r="C1012" s="21"/>
      <c r="D1012" s="36"/>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5" x14ac:dyDescent="0.45">
      <c r="A1013" s="7"/>
      <c r="B1013" s="7"/>
      <c r="C1013" s="21"/>
      <c r="D1013" s="36"/>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5" x14ac:dyDescent="0.45">
      <c r="A1014" s="7"/>
      <c r="B1014" s="7"/>
      <c r="C1014" s="21"/>
      <c r="D1014" s="36"/>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5" x14ac:dyDescent="0.45">
      <c r="A1015" s="7"/>
      <c r="B1015" s="7"/>
      <c r="C1015" s="21"/>
      <c r="D1015" s="36"/>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5" x14ac:dyDescent="0.45">
      <c r="A1016" s="7"/>
      <c r="B1016" s="7"/>
      <c r="C1016" s="21"/>
      <c r="D1016" s="36"/>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5" x14ac:dyDescent="0.45">
      <c r="A1017" s="7"/>
      <c r="B1017" s="7"/>
      <c r="C1017" s="21"/>
      <c r="D1017" s="36"/>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5" x14ac:dyDescent="0.45">
      <c r="A1018" s="7"/>
      <c r="B1018" s="7"/>
      <c r="C1018" s="21"/>
      <c r="D1018" s="36"/>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5" x14ac:dyDescent="0.45">
      <c r="A1019" s="7"/>
      <c r="B1019" s="7"/>
      <c r="C1019" s="21"/>
      <c r="D1019" s="36"/>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5" x14ac:dyDescent="0.45">
      <c r="A1020" s="7"/>
      <c r="B1020" s="7"/>
      <c r="C1020" s="21"/>
      <c r="D1020" s="36"/>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5" x14ac:dyDescent="0.45">
      <c r="A1021" s="7"/>
      <c r="B1021" s="7"/>
      <c r="C1021" s="21"/>
      <c r="D1021" s="36"/>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5" x14ac:dyDescent="0.45">
      <c r="A1022" s="7"/>
      <c r="B1022" s="7"/>
      <c r="C1022" s="21"/>
      <c r="D1022" s="36"/>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5" x14ac:dyDescent="0.45">
      <c r="A1023" s="7"/>
      <c r="B1023" s="7"/>
      <c r="C1023" s="21"/>
      <c r="D1023" s="36"/>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5" x14ac:dyDescent="0.45">
      <c r="A1024" s="7"/>
      <c r="B1024" s="7"/>
      <c r="C1024" s="21"/>
      <c r="D1024" s="36"/>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5" x14ac:dyDescent="0.45">
      <c r="A1025" s="7"/>
      <c r="B1025" s="7"/>
      <c r="C1025" s="21"/>
      <c r="D1025" s="36"/>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5" x14ac:dyDescent="0.45">
      <c r="A1026" s="7"/>
      <c r="B1026" s="7"/>
      <c r="C1026" s="21"/>
      <c r="D1026" s="36"/>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5" x14ac:dyDescent="0.45">
      <c r="A1027" s="7"/>
      <c r="B1027" s="7"/>
      <c r="C1027" s="21"/>
      <c r="D1027" s="36"/>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5" x14ac:dyDescent="0.45">
      <c r="A1028" s="7"/>
      <c r="B1028" s="7"/>
      <c r="C1028" s="21"/>
      <c r="D1028" s="36"/>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5" x14ac:dyDescent="0.45">
      <c r="A1029" s="7"/>
      <c r="B1029" s="7"/>
      <c r="C1029" s="21"/>
      <c r="D1029" s="36"/>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5" x14ac:dyDescent="0.45">
      <c r="A1030" s="7"/>
      <c r="B1030" s="7"/>
      <c r="C1030" s="21"/>
      <c r="D1030" s="36"/>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5" x14ac:dyDescent="0.45">
      <c r="A1031" s="7"/>
      <c r="B1031" s="7"/>
      <c r="C1031" s="21"/>
      <c r="D1031" s="36"/>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5" x14ac:dyDescent="0.45">
      <c r="A1032" s="7"/>
      <c r="B1032" s="7"/>
      <c r="C1032" s="21"/>
      <c r="D1032" s="36"/>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5" x14ac:dyDescent="0.45">
      <c r="A1033" s="7"/>
      <c r="B1033" s="7"/>
      <c r="C1033" s="21"/>
      <c r="D1033" s="36"/>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5" x14ac:dyDescent="0.45">
      <c r="A1034" s="7"/>
      <c r="B1034" s="7"/>
      <c r="C1034" s="21"/>
      <c r="D1034" s="36"/>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5" x14ac:dyDescent="0.45">
      <c r="A1035" s="7"/>
      <c r="B1035" s="7"/>
      <c r="C1035" s="21"/>
      <c r="D1035" s="36"/>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5" x14ac:dyDescent="0.45">
      <c r="A1036" s="7"/>
      <c r="B1036" s="7"/>
      <c r="C1036" s="21"/>
      <c r="D1036" s="36"/>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5" x14ac:dyDescent="0.45">
      <c r="A1037" s="7"/>
      <c r="B1037" s="7"/>
      <c r="C1037" s="21"/>
      <c r="D1037" s="36"/>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5" x14ac:dyDescent="0.45">
      <c r="A1038" s="7"/>
      <c r="B1038" s="7"/>
      <c r="C1038" s="21"/>
      <c r="D1038" s="36"/>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5" x14ac:dyDescent="0.45">
      <c r="A1039" s="7"/>
      <c r="B1039" s="7"/>
      <c r="C1039" s="21"/>
      <c r="D1039" s="36"/>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5" x14ac:dyDescent="0.45">
      <c r="A1040" s="7"/>
      <c r="B1040" s="7"/>
      <c r="C1040" s="21"/>
      <c r="D1040" s="36"/>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5" x14ac:dyDescent="0.45">
      <c r="A1041" s="7"/>
      <c r="B1041" s="7"/>
      <c r="C1041" s="21"/>
      <c r="D1041" s="36"/>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5" x14ac:dyDescent="0.45">
      <c r="A1042" s="7"/>
      <c r="B1042" s="7"/>
      <c r="C1042" s="21"/>
      <c r="D1042" s="36"/>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5" x14ac:dyDescent="0.45">
      <c r="A1043" s="7"/>
      <c r="B1043" s="7"/>
      <c r="C1043" s="21"/>
      <c r="D1043" s="36"/>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5" x14ac:dyDescent="0.45">
      <c r="A1044" s="7"/>
      <c r="B1044" s="7"/>
      <c r="C1044" s="21"/>
      <c r="D1044" s="36"/>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5" x14ac:dyDescent="0.45">
      <c r="A1045" s="7"/>
      <c r="B1045" s="7"/>
      <c r="C1045" s="21"/>
      <c r="D1045" s="36"/>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5" x14ac:dyDescent="0.45">
      <c r="A1046" s="7"/>
      <c r="B1046" s="7"/>
      <c r="C1046" s="21"/>
      <c r="D1046" s="36"/>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5" x14ac:dyDescent="0.45">
      <c r="A1047" s="7"/>
      <c r="B1047" s="7"/>
      <c r="C1047" s="21"/>
      <c r="D1047" s="36"/>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5" x14ac:dyDescent="0.45">
      <c r="A1048" s="7"/>
      <c r="B1048" s="7"/>
      <c r="C1048" s="21"/>
      <c r="D1048" s="36"/>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5" x14ac:dyDescent="0.45">
      <c r="A1049" s="7"/>
      <c r="B1049" s="7"/>
      <c r="C1049" s="21"/>
      <c r="D1049" s="36"/>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5" x14ac:dyDescent="0.45">
      <c r="A1050" s="7"/>
      <c r="B1050" s="7"/>
      <c r="C1050" s="21"/>
      <c r="D1050" s="36"/>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5" x14ac:dyDescent="0.45">
      <c r="A1051" s="7"/>
      <c r="B1051" s="7"/>
      <c r="C1051" s="21"/>
      <c r="D1051" s="36"/>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5" x14ac:dyDescent="0.45">
      <c r="A1052" s="7"/>
      <c r="B1052" s="7"/>
      <c r="C1052" s="21"/>
      <c r="D1052" s="36"/>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5" x14ac:dyDescent="0.45">
      <c r="A1053" s="7"/>
      <c r="B1053" s="7"/>
      <c r="C1053" s="21"/>
      <c r="D1053" s="36"/>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5" x14ac:dyDescent="0.45">
      <c r="A1054" s="7"/>
      <c r="B1054" s="7"/>
      <c r="C1054" s="21"/>
      <c r="D1054" s="36"/>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5" x14ac:dyDescent="0.45">
      <c r="A1055" s="7"/>
      <c r="B1055" s="7"/>
      <c r="C1055" s="21"/>
      <c r="D1055" s="36"/>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5" x14ac:dyDescent="0.45">
      <c r="A1056" s="7"/>
      <c r="B1056" s="7"/>
      <c r="C1056" s="21"/>
      <c r="D1056" s="36"/>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5" x14ac:dyDescent="0.45">
      <c r="A1057" s="7"/>
      <c r="B1057" s="7"/>
      <c r="C1057" s="21"/>
      <c r="D1057" s="36"/>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5" x14ac:dyDescent="0.45">
      <c r="A1058" s="7"/>
      <c r="B1058" s="7"/>
      <c r="C1058" s="21"/>
      <c r="D1058" s="36"/>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5" x14ac:dyDescent="0.45">
      <c r="A1059" s="7"/>
      <c r="B1059" s="7"/>
      <c r="C1059" s="21"/>
      <c r="D1059" s="36"/>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5" x14ac:dyDescent="0.45">
      <c r="A1060" s="7"/>
      <c r="B1060" s="7"/>
      <c r="C1060" s="21"/>
      <c r="D1060" s="36"/>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5" x14ac:dyDescent="0.45">
      <c r="A1061" s="7"/>
      <c r="B1061" s="7"/>
      <c r="C1061" s="21"/>
      <c r="D1061" s="36"/>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5" x14ac:dyDescent="0.45">
      <c r="A1062" s="7"/>
      <c r="B1062" s="7"/>
      <c r="C1062" s="21"/>
      <c r="D1062" s="36"/>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5" x14ac:dyDescent="0.45">
      <c r="A1063" s="7"/>
      <c r="B1063" s="7"/>
      <c r="C1063" s="21"/>
      <c r="D1063" s="36"/>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5" x14ac:dyDescent="0.45">
      <c r="A1064" s="7"/>
      <c r="B1064" s="7"/>
      <c r="C1064" s="21"/>
      <c r="D1064" s="36"/>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5" x14ac:dyDescent="0.45">
      <c r="A1065" s="7"/>
      <c r="B1065" s="7"/>
      <c r="C1065" s="21"/>
      <c r="D1065" s="36"/>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5" x14ac:dyDescent="0.45">
      <c r="A1066" s="7"/>
      <c r="B1066" s="7"/>
      <c r="C1066" s="21"/>
      <c r="D1066" s="36"/>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5" x14ac:dyDescent="0.45">
      <c r="A1067" s="7"/>
      <c r="B1067" s="7"/>
      <c r="C1067" s="21"/>
      <c r="D1067" s="36"/>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5" x14ac:dyDescent="0.45">
      <c r="A1068" s="7"/>
      <c r="B1068" s="7"/>
      <c r="C1068" s="21"/>
      <c r="D1068" s="36"/>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5" x14ac:dyDescent="0.45">
      <c r="A1069" s="7"/>
      <c r="B1069" s="7"/>
      <c r="C1069" s="21"/>
      <c r="D1069" s="36"/>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5" x14ac:dyDescent="0.45">
      <c r="A1070" s="7"/>
      <c r="B1070" s="7"/>
      <c r="C1070" s="21"/>
      <c r="D1070" s="36"/>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5" x14ac:dyDescent="0.45">
      <c r="A1071" s="7"/>
      <c r="B1071" s="7"/>
      <c r="C1071" s="21"/>
      <c r="D1071" s="36"/>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5" x14ac:dyDescent="0.45">
      <c r="A1072" s="7"/>
      <c r="B1072" s="7"/>
      <c r="C1072" s="21"/>
      <c r="D1072" s="36"/>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5" x14ac:dyDescent="0.45">
      <c r="A1073" s="7"/>
      <c r="B1073" s="7"/>
      <c r="C1073" s="21"/>
      <c r="D1073" s="36"/>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5" x14ac:dyDescent="0.45">
      <c r="A1074" s="7"/>
      <c r="B1074" s="7"/>
      <c r="C1074" s="21"/>
      <c r="D1074" s="36"/>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5" x14ac:dyDescent="0.45">
      <c r="A1075" s="7"/>
      <c r="B1075" s="7"/>
      <c r="C1075" s="21"/>
      <c r="D1075" s="36"/>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5" x14ac:dyDescent="0.45">
      <c r="A1076" s="7"/>
      <c r="B1076" s="7"/>
      <c r="C1076" s="21"/>
      <c r="D1076" s="36"/>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5" x14ac:dyDescent="0.45">
      <c r="A1077" s="7"/>
      <c r="B1077" s="7"/>
      <c r="C1077" s="21"/>
      <c r="D1077" s="36"/>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5" x14ac:dyDescent="0.45">
      <c r="A1078" s="7"/>
      <c r="B1078" s="7"/>
      <c r="C1078" s="21"/>
      <c r="D1078" s="36"/>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5" x14ac:dyDescent="0.45">
      <c r="A1079" s="7"/>
      <c r="B1079" s="7"/>
      <c r="C1079" s="21"/>
      <c r="D1079" s="36"/>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5" x14ac:dyDescent="0.45">
      <c r="A1080" s="7"/>
      <c r="B1080" s="7"/>
      <c r="C1080" s="21"/>
      <c r="D1080" s="36"/>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5" x14ac:dyDescent="0.45">
      <c r="A1081" s="7"/>
      <c r="B1081" s="7"/>
      <c r="C1081" s="21"/>
      <c r="D1081" s="36"/>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5" x14ac:dyDescent="0.45">
      <c r="A1082" s="7"/>
      <c r="B1082" s="7"/>
      <c r="C1082" s="21"/>
      <c r="D1082" s="36"/>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5" x14ac:dyDescent="0.45">
      <c r="A1083" s="7"/>
      <c r="B1083" s="7"/>
      <c r="C1083" s="21"/>
      <c r="D1083" s="36"/>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5" x14ac:dyDescent="0.45">
      <c r="A1084" s="7"/>
      <c r="B1084" s="7"/>
      <c r="C1084" s="21"/>
      <c r="D1084" s="36"/>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5" x14ac:dyDescent="0.45">
      <c r="A1085" s="7"/>
      <c r="B1085" s="7"/>
      <c r="C1085" s="21"/>
      <c r="D1085" s="36"/>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5" x14ac:dyDescent="0.45">
      <c r="A1086" s="7"/>
      <c r="B1086" s="7"/>
      <c r="C1086" s="21"/>
      <c r="D1086" s="36"/>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5" x14ac:dyDescent="0.45">
      <c r="A1087" s="7"/>
      <c r="B1087" s="7"/>
      <c r="C1087" s="21"/>
      <c r="D1087" s="36"/>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5" x14ac:dyDescent="0.45">
      <c r="A1088" s="7"/>
      <c r="B1088" s="7"/>
      <c r="C1088" s="21"/>
      <c r="D1088" s="36"/>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5" x14ac:dyDescent="0.45">
      <c r="A1089" s="7"/>
      <c r="B1089" s="7"/>
      <c r="C1089" s="21"/>
      <c r="D1089" s="36"/>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5" x14ac:dyDescent="0.45">
      <c r="A1090" s="7"/>
      <c r="B1090" s="7"/>
      <c r="C1090" s="21"/>
      <c r="D1090" s="36"/>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5" x14ac:dyDescent="0.45">
      <c r="A1091" s="7"/>
      <c r="B1091" s="7"/>
      <c r="C1091" s="21"/>
      <c r="D1091" s="36"/>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5" x14ac:dyDescent="0.45">
      <c r="A1092" s="7"/>
      <c r="B1092" s="7"/>
      <c r="C1092" s="21"/>
      <c r="D1092" s="36"/>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5" x14ac:dyDescent="0.45">
      <c r="A1093" s="7"/>
      <c r="B1093" s="7"/>
      <c r="C1093" s="21"/>
      <c r="D1093" s="36"/>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5" x14ac:dyDescent="0.45">
      <c r="A1094" s="7"/>
      <c r="B1094" s="7"/>
      <c r="C1094" s="21"/>
      <c r="D1094" s="36"/>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5" x14ac:dyDescent="0.45">
      <c r="A1095" s="7"/>
      <c r="B1095" s="7"/>
      <c r="C1095" s="21"/>
      <c r="D1095" s="36"/>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5" x14ac:dyDescent="0.45">
      <c r="A1096" s="7"/>
      <c r="B1096" s="7"/>
      <c r="C1096" s="21"/>
      <c r="D1096" s="36"/>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5" x14ac:dyDescent="0.45">
      <c r="A1097" s="7"/>
      <c r="B1097" s="7"/>
      <c r="C1097" s="21"/>
      <c r="D1097" s="36"/>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5" x14ac:dyDescent="0.45">
      <c r="A1098" s="7"/>
      <c r="B1098" s="7"/>
      <c r="C1098" s="21"/>
      <c r="D1098" s="36"/>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5" x14ac:dyDescent="0.45">
      <c r="A1099" s="7"/>
      <c r="B1099" s="7"/>
      <c r="C1099" s="21"/>
      <c r="D1099" s="36"/>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5" x14ac:dyDescent="0.45">
      <c r="A1100" s="7"/>
      <c r="B1100" s="7"/>
      <c r="C1100" s="21"/>
      <c r="D1100" s="36"/>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5" x14ac:dyDescent="0.45">
      <c r="A1101" s="7"/>
      <c r="B1101" s="7"/>
      <c r="C1101" s="21"/>
      <c r="D1101" s="36"/>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5" x14ac:dyDescent="0.45">
      <c r="A1102" s="7"/>
      <c r="B1102" s="7"/>
      <c r="C1102" s="21"/>
      <c r="D1102" s="36"/>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5" x14ac:dyDescent="0.45">
      <c r="A1103" s="7"/>
      <c r="B1103" s="7"/>
      <c r="C1103" s="21"/>
      <c r="D1103" s="36"/>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5" x14ac:dyDescent="0.45">
      <c r="A1104" s="7"/>
      <c r="B1104" s="7"/>
      <c r="C1104" s="21"/>
      <c r="D1104" s="36"/>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5" x14ac:dyDescent="0.45">
      <c r="A1105" s="7"/>
      <c r="B1105" s="7"/>
      <c r="C1105" s="21"/>
      <c r="D1105" s="36"/>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5" x14ac:dyDescent="0.45">
      <c r="A1106" s="7"/>
      <c r="B1106" s="7"/>
      <c r="C1106" s="21"/>
      <c r="D1106" s="36"/>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5" x14ac:dyDescent="0.45">
      <c r="A1107" s="7"/>
      <c r="B1107" s="7"/>
      <c r="C1107" s="21"/>
      <c r="D1107" s="36"/>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5" x14ac:dyDescent="0.45">
      <c r="A1108" s="7"/>
      <c r="B1108" s="7"/>
      <c r="C1108" s="21"/>
      <c r="D1108" s="36"/>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5" x14ac:dyDescent="0.45">
      <c r="A1109" s="7"/>
      <c r="B1109" s="7"/>
      <c r="C1109" s="21"/>
      <c r="D1109" s="36"/>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5" x14ac:dyDescent="0.45">
      <c r="A1110" s="7"/>
      <c r="B1110" s="7"/>
      <c r="C1110" s="21"/>
      <c r="D1110" s="36"/>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5" x14ac:dyDescent="0.45">
      <c r="A1111" s="7"/>
      <c r="B1111" s="7"/>
      <c r="C1111" s="21"/>
      <c r="D1111" s="36"/>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5" x14ac:dyDescent="0.45">
      <c r="A1112" s="7"/>
      <c r="B1112" s="7"/>
      <c r="C1112" s="21"/>
      <c r="D1112" s="36"/>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5" x14ac:dyDescent="0.45">
      <c r="A1113" s="7"/>
      <c r="B1113" s="7"/>
      <c r="C1113" s="21"/>
      <c r="D1113" s="36"/>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5" x14ac:dyDescent="0.45">
      <c r="A1114" s="7"/>
      <c r="B1114" s="7"/>
      <c r="C1114" s="21"/>
      <c r="D1114" s="36"/>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5" x14ac:dyDescent="0.45">
      <c r="A1115" s="7"/>
      <c r="B1115" s="7"/>
      <c r="C1115" s="21"/>
      <c r="D1115" s="36"/>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5" x14ac:dyDescent="0.45">
      <c r="A1116" s="7"/>
      <c r="B1116" s="7"/>
      <c r="C1116" s="21"/>
      <c r="D1116" s="36"/>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5" x14ac:dyDescent="0.45">
      <c r="A1117" s="7"/>
      <c r="B1117" s="7"/>
      <c r="C1117" s="21"/>
      <c r="D1117" s="36"/>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5" x14ac:dyDescent="0.45">
      <c r="A1118" s="7"/>
      <c r="B1118" s="7"/>
      <c r="C1118" s="21"/>
      <c r="D1118" s="36"/>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5" x14ac:dyDescent="0.45">
      <c r="A1119" s="7"/>
      <c r="B1119" s="7"/>
      <c r="C1119" s="21"/>
      <c r="D1119" s="36"/>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27" priority="32">
      <formula>F4 = "Yes"</formula>
    </cfRule>
  </conditionalFormatting>
  <conditionalFormatting sqref="E2">
    <cfRule type="notContainsBlanks" dxfId="26" priority="27">
      <formula>LEN(TRIM(E2))&gt;0</formula>
    </cfRule>
  </conditionalFormatting>
  <conditionalFormatting sqref="F5">
    <cfRule type="expression" dxfId="25" priority="28">
      <formula>OR(E6="No", E7="No")</formula>
    </cfRule>
  </conditionalFormatting>
  <conditionalFormatting sqref="F9">
    <cfRule type="expression" dxfId="24" priority="1">
      <formula>OR(E10 = "No", E11="No", E12 = "No")</formula>
    </cfRule>
  </conditionalFormatting>
  <conditionalFormatting sqref="F15">
    <cfRule type="expression" dxfId="23" priority="2">
      <formula>E16 = "No"</formula>
    </cfRule>
  </conditionalFormatting>
  <conditionalFormatting sqref="F18">
    <cfRule type="expression" dxfId="22" priority="31">
      <formula>E19 = "No"</formula>
    </cfRule>
  </conditionalFormatting>
  <conditionalFormatting sqref="F23">
    <cfRule type="expression" dxfId="21" priority="3">
      <formula>OR(E24 = "No", E25 = "No")</formula>
    </cfRule>
  </conditionalFormatting>
  <conditionalFormatting sqref="F34">
    <cfRule type="expression" dxfId="20" priority="5">
      <formula>OR(E35="No", E36="No", E37="No", E38="No", E39="No", E40="No")</formula>
    </cfRule>
  </conditionalFormatting>
  <conditionalFormatting sqref="F44">
    <cfRule type="expression" dxfId="19" priority="25">
      <formula>OR(E45="No", E46="No", E47="No")</formula>
    </cfRule>
  </conditionalFormatting>
  <conditionalFormatting sqref="F48">
    <cfRule type="expression" dxfId="18" priority="6">
      <formula>OR(E49="No", E50="No", E51="No", E52="No", E53="No")</formula>
    </cfRule>
  </conditionalFormatting>
  <conditionalFormatting sqref="F54">
    <cfRule type="expression" dxfId="17" priority="29">
      <formula>OR(E55="No", E56="No", E57="No", E58="No")</formula>
    </cfRule>
  </conditionalFormatting>
  <conditionalFormatting sqref="F59">
    <cfRule type="expression" dxfId="16" priority="30">
      <formula>OR(E60="No", E61="No")</formula>
    </cfRule>
  </conditionalFormatting>
  <conditionalFormatting sqref="F63">
    <cfRule type="expression" dxfId="15" priority="7">
      <formula>AND(E64="No", OR(E65="No", E66="No"))</formula>
    </cfRule>
  </conditionalFormatting>
  <conditionalFormatting sqref="F68">
    <cfRule type="expression" dxfId="14" priority="8">
      <formula>OR(E69="No", E70="No", E71="No", E72="No")</formula>
    </cfRule>
  </conditionalFormatting>
  <conditionalFormatting sqref="F73">
    <cfRule type="expression" dxfId="13" priority="9">
      <formula>OR(E74="No", E75="No")</formula>
    </cfRule>
  </conditionalFormatting>
  <conditionalFormatting sqref="F77">
    <cfRule type="expression" dxfId="12" priority="10">
      <formula>OR(E78="No", E79="No", E80="No", E81="No")</formula>
    </cfRule>
  </conditionalFormatting>
  <conditionalFormatting sqref="F82">
    <cfRule type="expression" dxfId="11" priority="12">
      <formula>E83="No"</formula>
    </cfRule>
  </conditionalFormatting>
  <conditionalFormatting sqref="F83">
    <cfRule type="notContainsBlanks" dxfId="10" priority="11">
      <formula>LEN(TRIM(F83))&gt;0</formula>
    </cfRule>
  </conditionalFormatting>
  <conditionalFormatting sqref="F86">
    <cfRule type="expression" dxfId="9" priority="13">
      <formula>OR(E87="No", E88="No")</formula>
    </cfRule>
  </conditionalFormatting>
  <conditionalFormatting sqref="F89">
    <cfRule type="expression" dxfId="8" priority="14">
      <formula>OR(E90="No", E91="No", E92="No")</formula>
    </cfRule>
  </conditionalFormatting>
  <conditionalFormatting sqref="F93">
    <cfRule type="expression" dxfId="7" priority="15">
      <formula>OR(E94="No", E95="No", E96="No")</formula>
    </cfRule>
  </conditionalFormatting>
  <conditionalFormatting sqref="F98">
    <cfRule type="expression" dxfId="6" priority="16">
      <formula>E99="No"</formula>
    </cfRule>
  </conditionalFormatting>
  <conditionalFormatting sqref="F100">
    <cfRule type="expression" dxfId="5" priority="17">
      <formula>OR(E101="No", E102="No", E103="No")</formula>
    </cfRule>
  </conditionalFormatting>
  <conditionalFormatting sqref="F104">
    <cfRule type="expression" dxfId="4" priority="18">
      <formula>OR(E105="No", E106="No", E107="No", E108="No", E109="No")</formula>
    </cfRule>
  </conditionalFormatting>
  <conditionalFormatting sqref="F110">
    <cfRule type="expression" dxfId="3" priority="19">
      <formula>OR(E111="No", E112="No")</formula>
    </cfRule>
  </conditionalFormatting>
  <conditionalFormatting sqref="F120">
    <cfRule type="expression" dxfId="2" priority="20">
      <formula>OR(E121="No", E122="No", E123="No", E124="No", E125="No")</formula>
    </cfRule>
  </conditionalFormatting>
  <conditionalFormatting sqref="F128">
    <cfRule type="expression" dxfId="1" priority="21">
      <formula>OR(E129="No", E130="No")</formula>
    </cfRule>
  </conditionalFormatting>
  <conditionalFormatting sqref="F131">
    <cfRule type="expression" dxfId="0" priority="22">
      <formula>OR(E132="No", E133="No", E134="No")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Felix Li</cp:lastModifiedBy>
  <dcterms:modified xsi:type="dcterms:W3CDTF">2025-11-26T21:37:47Z</dcterms:modified>
</cp:coreProperties>
</file>